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zahrania2/Downloads/"/>
    </mc:Choice>
  </mc:AlternateContent>
  <xr:revisionPtr revIDLastSave="0" documentId="8_{626ED321-1F81-6841-B72C-2642091DAAF9}" xr6:coauthVersionLast="47" xr6:coauthVersionMax="47" xr10:uidLastSave="{00000000-0000-0000-0000-000000000000}"/>
  <bookViews>
    <workbookView xWindow="0" yWindow="780" windowWidth="41120" windowHeight="25800" xr2:uid="{B8F8AD21-5260-124B-916B-43E35ACC86AE}"/>
  </bookViews>
  <sheets>
    <sheet name="trades_export_20260121" sheetId="1" r:id="rId1"/>
  </sheets>
  <calcPr calcId="0"/>
</workbook>
</file>

<file path=xl/calcChain.xml><?xml version="1.0" encoding="utf-8"?>
<calcChain xmlns="http://schemas.openxmlformats.org/spreadsheetml/2006/main">
  <c r="L14" i="1" l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5" i="1"/>
  <c r="L6" i="1" s="1"/>
  <c r="L7" i="1" s="1"/>
  <c r="L8" i="1" s="1"/>
  <c r="L9" i="1" s="1"/>
  <c r="L10" i="1" s="1"/>
  <c r="L11" i="1" s="1"/>
  <c r="L12" i="1" s="1"/>
  <c r="L13" i="1" s="1"/>
  <c r="L4" i="1"/>
  <c r="L3" i="1"/>
  <c r="L2" i="1"/>
</calcChain>
</file>

<file path=xl/sharedStrings.xml><?xml version="1.0" encoding="utf-8"?>
<sst xmlns="http://schemas.openxmlformats.org/spreadsheetml/2006/main" count="1670" uniqueCount="833">
  <si>
    <t>id</t>
  </si>
  <si>
    <t>exchange</t>
  </si>
  <si>
    <t>base</t>
  </si>
  <si>
    <t>quote</t>
  </si>
  <si>
    <t>position_side</t>
  </si>
  <si>
    <t>timeframe</t>
  </si>
  <si>
    <t>group_id</t>
  </si>
  <si>
    <t>status</t>
  </si>
  <si>
    <t>created_at</t>
  </si>
  <si>
    <t>closed_at</t>
  </si>
  <si>
    <t>total_pnl_usdt</t>
  </si>
  <si>
    <t>total_pnl_percent</t>
  </si>
  <si>
    <t>pyramid_count</t>
  </si>
  <si>
    <t>91b56778-1b1c-4067-afbf-4c018a9b14fc</t>
  </si>
  <si>
    <t>binance</t>
  </si>
  <si>
    <t>KMNO</t>
  </si>
  <si>
    <t>USDT</t>
  </si>
  <si>
    <t>long</t>
  </si>
  <si>
    <t>KMNO_Binance_36_001</t>
  </si>
  <si>
    <t>closed</t>
  </si>
  <si>
    <t>2026-01-17T18:38:04.223072</t>
  </si>
  <si>
    <t>2026-01-21T08:24:06.045533+00:00</t>
  </si>
  <si>
    <t>e1b6cec0-0e0b-43c8-b887-f29708320a62</t>
  </si>
  <si>
    <t>kucoin</t>
  </si>
  <si>
    <t>AUCTION</t>
  </si>
  <si>
    <t>AUCTION_Kucoin_33_001</t>
  </si>
  <si>
    <t>2026-01-19T02:20:43.739845</t>
  </si>
  <si>
    <t>2026-01-21T07:48:06.022358+00:00</t>
  </si>
  <si>
    <t>6d484283-4817-47d7-aafe-f8f96ad4d899</t>
  </si>
  <si>
    <t>AMP</t>
  </si>
  <si>
    <t>AMP_Binance_54_002</t>
  </si>
  <si>
    <t>2026-01-20T23:24:55.984335+00:00</t>
  </si>
  <si>
    <t>2026-01-21T06:18:51.768069+00:00</t>
  </si>
  <si>
    <t>a967dfce-596c-40b5-8a51-1e60c59c06e5</t>
  </si>
  <si>
    <t>NEXO</t>
  </si>
  <si>
    <t>NEXO_Binance_22_004</t>
  </si>
  <si>
    <t>2026-01-20T15:02:14.718196</t>
  </si>
  <si>
    <t>2026-01-21T06:15:38.636668+00:00</t>
  </si>
  <si>
    <t>e2984d5c-7e2d-4a8a-931c-1165c38d680c</t>
  </si>
  <si>
    <t>NEXO_Binance_53_002</t>
  </si>
  <si>
    <t>2026-01-19T23:51:27.843354</t>
  </si>
  <si>
    <t>2026-01-21T06:11:18.829111+00:00</t>
  </si>
  <si>
    <t>bef44076-a8d6-45df-8e9d-05e056eca88c</t>
  </si>
  <si>
    <t>KAVA</t>
  </si>
  <si>
    <t>KAVA_Binance_59_001</t>
  </si>
  <si>
    <t>2026-01-19T23:36:13.388127</t>
  </si>
  <si>
    <t>2026-01-21T04:56:25.741559+00:00</t>
  </si>
  <si>
    <t>ca64e64e-eb0e-4803-8163-c8fabab9b08c</t>
  </si>
  <si>
    <t>KAITO</t>
  </si>
  <si>
    <t>KAITO_Binance_28_001</t>
  </si>
  <si>
    <t>2026-01-19T00:56:03.156233</t>
  </si>
  <si>
    <t>2026-01-21T04:40:32.457316+00:00</t>
  </si>
  <si>
    <t>5b62ba03-e1d3-4ad0-ac4f-f2ddef741259</t>
  </si>
  <si>
    <t>TUT</t>
  </si>
  <si>
    <t>TUT_Binance_37_003</t>
  </si>
  <si>
    <t>2026-01-20T10:29:30.773921</t>
  </si>
  <si>
    <t>2026-01-21T04:19:26.981789+00:00</t>
  </si>
  <si>
    <t>866d92b0-caa0-4ef8-b516-8050d2176437</t>
  </si>
  <si>
    <t>VRA</t>
  </si>
  <si>
    <t>VRA_Kucoin_61_004</t>
  </si>
  <si>
    <t>2026-01-20T04:06:32.448759</t>
  </si>
  <si>
    <t>2026-01-21T04:04:19.299143+00:00</t>
  </si>
  <si>
    <t>f50c6fea-2a58-4d6e-8731-bc77c54f160c</t>
  </si>
  <si>
    <t>SFP</t>
  </si>
  <si>
    <t>SFP_Binance_120_001</t>
  </si>
  <si>
    <t>2026-01-20T08:00:17.647907</t>
  </si>
  <si>
    <t>2026-01-21T04:00:17.659626+00:00</t>
  </si>
  <si>
    <t>d16cece3-f1bf-44ac-a2a7-1da8424e9507</t>
  </si>
  <si>
    <t>ARB</t>
  </si>
  <si>
    <t>ARB_Binance_59_001</t>
  </si>
  <si>
    <t>2026-01-20T07:52:03.033259</t>
  </si>
  <si>
    <t>2026-01-21T02:57:08.067951+00:00</t>
  </si>
  <si>
    <t>0987976e-3524-4037-8163-7c2aa87f1bed</t>
  </si>
  <si>
    <t>ROSE</t>
  </si>
  <si>
    <t>ROSE_Binance_54_004</t>
  </si>
  <si>
    <t>2026-01-20T08:06:04.011819</t>
  </si>
  <si>
    <t>2026-01-21T02:42:02.118333+00:00</t>
  </si>
  <si>
    <t>c867435a-2db7-481b-a20e-f2d98c7fa8c7</t>
  </si>
  <si>
    <t>LYX</t>
  </si>
  <si>
    <t>LYX_Kucoin_52_001</t>
  </si>
  <si>
    <t>2026-01-20T15:36:09.143865</t>
  </si>
  <si>
    <t>2026-01-21T02:41:38.459767+00:00</t>
  </si>
  <si>
    <t>0f59c499-50bd-45cf-b7d2-bced53191d81</t>
  </si>
  <si>
    <t>TWT</t>
  </si>
  <si>
    <t>TWT_Binance_53_001</t>
  </si>
  <si>
    <t>2026-01-20T03:32:05.444463</t>
  </si>
  <si>
    <t>2026-01-21T02:40:10.523749+00:00</t>
  </si>
  <si>
    <t>4d8acddd-f9de-4867-869b-88430f16d105</t>
  </si>
  <si>
    <t>RENDER</t>
  </si>
  <si>
    <t>RENDER_Binance_50_001</t>
  </si>
  <si>
    <t>2026-01-19T15:50:05.076905</t>
  </si>
  <si>
    <t>2026-01-21T02:30:18.947933+00:00</t>
  </si>
  <si>
    <t>126a9f43-8332-4254-ab05-cd54aa0fb85e</t>
  </si>
  <si>
    <t>SAND</t>
  </si>
  <si>
    <t>SAND_Binance_30_002</t>
  </si>
  <si>
    <t>2026-01-20T15:30:17.559236</t>
  </si>
  <si>
    <t>2026-01-21T02:30:05.677650+00:00</t>
  </si>
  <si>
    <t>2e03973d-9329-41ea-bc6f-6d8cf675f9bb</t>
  </si>
  <si>
    <t>SUI</t>
  </si>
  <si>
    <t>SUI_Binance_46_001</t>
  </si>
  <si>
    <t>2026-01-20T19:10:04.917855</t>
  </si>
  <si>
    <t>2026-01-21T02:18:03.137377+00:00</t>
  </si>
  <si>
    <t>3e380eed-fa17-45c3-9dab-1beb802730bd</t>
  </si>
  <si>
    <t>MANTA</t>
  </si>
  <si>
    <t>MANTA_Binance_33_002</t>
  </si>
  <si>
    <t>2026-01-20T18:09:23.069616</t>
  </si>
  <si>
    <t>2026-01-21T02:12:05.481958+00:00</t>
  </si>
  <si>
    <t>64d880de-e98c-446f-87b2-e8c647ad41ff</t>
  </si>
  <si>
    <t>TWT_Binance_61_001</t>
  </si>
  <si>
    <t>2026-01-20T23:23:28.994886+00:00</t>
  </si>
  <si>
    <t>2026-01-21T02:02:05.201386+00:00</t>
  </si>
  <si>
    <t>8a202a7b-28f0-4eef-a83a-29bf4fe363b7</t>
  </si>
  <si>
    <t>QNT</t>
  </si>
  <si>
    <t>QNT_Binance_37_002</t>
  </si>
  <si>
    <t>2026-01-20T17:53:03.879029</t>
  </si>
  <si>
    <t>2026-01-21T01:51:10.930383+00:00</t>
  </si>
  <si>
    <t>9cf1816e-89f0-4162-9771-8a1f92a19f9a</t>
  </si>
  <si>
    <t>MAGIC</t>
  </si>
  <si>
    <t>MAGIC_Binance_50_001</t>
  </si>
  <si>
    <t>2026-01-20T15:50:05.633363</t>
  </si>
  <si>
    <t>2026-01-21T01:41:24.086541+00:00</t>
  </si>
  <si>
    <t>fbe61243-afd5-49d9-a986-90d84814476d</t>
  </si>
  <si>
    <t>SYRUP</t>
  </si>
  <si>
    <t>SYRUP_Binance_33_001</t>
  </si>
  <si>
    <t>2026-01-20T18:09:02.114093</t>
  </si>
  <si>
    <t>2026-01-21T01:39:08.875663+00:00</t>
  </si>
  <si>
    <t>030230c1-ee0d-4a1e-b44c-71c1fbd6f1a8</t>
  </si>
  <si>
    <t>QNT_Binance_19_001</t>
  </si>
  <si>
    <t>2026-01-20T21:51:04.690437+00:00</t>
  </si>
  <si>
    <t>2026-01-21T01:35:04.263390+00:00</t>
  </si>
  <si>
    <t>2694eb36-45a2-4be7-bdd0-d2872e86bd45</t>
  </si>
  <si>
    <t>A2Z</t>
  </si>
  <si>
    <t>A2Z_Binance_44_002</t>
  </si>
  <si>
    <t>2026-01-20T05:52:18.073878</t>
  </si>
  <si>
    <t>2026-01-21T01:28:36.176035+00:00</t>
  </si>
  <si>
    <t>2f861ec2-cafe-441f-981b-a8d1bb4f7c4c</t>
  </si>
  <si>
    <t>MUBARAK</t>
  </si>
  <si>
    <t>MUBARAK_Binance_35_001</t>
  </si>
  <si>
    <t>2026-01-20T18:05:09.067437</t>
  </si>
  <si>
    <t>2026-01-21T01:10:03.868073+00:00</t>
  </si>
  <si>
    <t>8a03b3a2-bdba-41aa-a4ef-ea44f2b4b6e0</t>
  </si>
  <si>
    <t>GTC</t>
  </si>
  <si>
    <t>GTC_Binance_33_001</t>
  </si>
  <si>
    <t>2026-01-19T00:35:03.696261</t>
  </si>
  <si>
    <t>2026-01-21T01:08:52.093646+00:00</t>
  </si>
  <si>
    <t>d9a021f2-f513-4d2d-8b4c-41ef8d212e9c</t>
  </si>
  <si>
    <t>JUV</t>
  </si>
  <si>
    <t>JUV_Binance_34_003</t>
  </si>
  <si>
    <t>2026-01-20T23:48:10.786850+00:00</t>
  </si>
  <si>
    <t>2026-01-21T01:08:41.099428+00:00</t>
  </si>
  <si>
    <t>b276ea0e-0b3c-493a-bb5b-2be42b003b09</t>
  </si>
  <si>
    <t>mexc</t>
  </si>
  <si>
    <t>VRA_Mexc_61_003</t>
  </si>
  <si>
    <t>2026-01-20T05:05:38.950344</t>
  </si>
  <si>
    <t>2026-01-21T01:01:14.467824+00:00</t>
  </si>
  <si>
    <t>f246f2d1-0552-47c2-8132-977dca79563e</t>
  </si>
  <si>
    <t>ASR</t>
  </si>
  <si>
    <t>ASR_Binance_30_004</t>
  </si>
  <si>
    <t>2026-01-20T20:00:14.696870</t>
  </si>
  <si>
    <t>2026-01-21T01:00:14.501263+00:00</t>
  </si>
  <si>
    <t>507efd41-e0ec-4262-a0a8-ffb6ce9f177b</t>
  </si>
  <si>
    <t>ASR_Binance_25_005</t>
  </si>
  <si>
    <t>2026-01-20T18:45:13.046840</t>
  </si>
  <si>
    <t>2026-01-21T00:51:03.117084+00:00</t>
  </si>
  <si>
    <t>076006a1-238b-4d1e-b6c9-e6c8bf27a2ce</t>
  </si>
  <si>
    <t>ADA</t>
  </si>
  <si>
    <t>ADA_Binance_42_001</t>
  </si>
  <si>
    <t>2026-01-20T18:12:06.114856</t>
  </si>
  <si>
    <t>2026-01-21T00:42:02.850647+00:00</t>
  </si>
  <si>
    <t>7a1b126a-9f99-4635-b06a-0133bf25b76e</t>
  </si>
  <si>
    <t>SYRUP_Binance_28_002</t>
  </si>
  <si>
    <t>2026-01-20T19:08:04.910240</t>
  </si>
  <si>
    <t>2026-01-21T00:28:05.302422+00:00</t>
  </si>
  <si>
    <t>be484e70-0ed7-4c14-8e6c-8bfe4551cf8c</t>
  </si>
  <si>
    <t>PENDLE</t>
  </si>
  <si>
    <t>PENDLE_Kucoin_50_002</t>
  </si>
  <si>
    <t>2026-01-20T07:30:19.969589</t>
  </si>
  <si>
    <t>2026-01-20T22:30:43.242889+00:00</t>
  </si>
  <si>
    <t>1b3b9135-a33f-4997-81cd-d07534c07d70</t>
  </si>
  <si>
    <t>SPK</t>
  </si>
  <si>
    <t>SPK_Binance_28_002</t>
  </si>
  <si>
    <t>2026-01-20T20:05:15.677807</t>
  </si>
  <si>
    <t>2026-01-20T21:28:35.822661+00:00</t>
  </si>
  <si>
    <t>a532e4ee-e1a3-46fc-ae47-de870baaf552</t>
  </si>
  <si>
    <t>PENDLE_Mexc_61_001</t>
  </si>
  <si>
    <t>2026-01-20T10:10:10.631468</t>
  </si>
  <si>
    <t>2026-01-20T21:21:10.762416+00:00</t>
  </si>
  <si>
    <t>eca7fc1a-79aa-4536-b255-5efb439eb111</t>
  </si>
  <si>
    <t>TAO</t>
  </si>
  <si>
    <t>TAO_Mexc_61_001</t>
  </si>
  <si>
    <t>2026-01-20T03:03:08.960018</t>
  </si>
  <si>
    <t>2026-01-20T21:21:01.919728+00:00</t>
  </si>
  <si>
    <t>200c31ae-b298-4336-9dbe-7d267862f90d</t>
  </si>
  <si>
    <t>PEPE</t>
  </si>
  <si>
    <t>PEPE_Mexc_43_001</t>
  </si>
  <si>
    <t>2026-01-20T07:10:02.382544</t>
  </si>
  <si>
    <t>2026-01-20T20:47:05.833195+00:00</t>
  </si>
  <si>
    <t>fcc6a111-8f57-4809-848a-c55ffbcd37f0</t>
  </si>
  <si>
    <t>ADA_Binance_30_005</t>
  </si>
  <si>
    <t>2026-01-20T18:30:11.447314</t>
  </si>
  <si>
    <t>2026-01-20T20:30:07.881847+00:00</t>
  </si>
  <si>
    <t>b832f547-e8be-472c-b618-5d5f87bf4384</t>
  </si>
  <si>
    <t>KMNO_Binance_18_003</t>
  </si>
  <si>
    <t>2026-01-20T15:54:03.128064</t>
  </si>
  <si>
    <t>2026-01-20T19:30:19.954235</t>
  </si>
  <si>
    <t>5a5782bf-711e-4755-a36c-b54da521f744</t>
  </si>
  <si>
    <t>LDO</t>
  </si>
  <si>
    <t>LDO_Binance_39_001</t>
  </si>
  <si>
    <t>2026-01-20T18:51:02.904626</t>
  </si>
  <si>
    <t>2026-01-20T19:30:10.104921</t>
  </si>
  <si>
    <t>a85c1f8f-b71c-464b-bf40-e363acd1ae32</t>
  </si>
  <si>
    <t>AR</t>
  </si>
  <si>
    <t>AR_Binance_50_001</t>
  </si>
  <si>
    <t>2026-01-20T09:10:15.407981</t>
  </si>
  <si>
    <t>2026-01-20T18:20:31.011167</t>
  </si>
  <si>
    <t>0f5f317f-4097-4bb5-8697-6927dc3d618d</t>
  </si>
  <si>
    <t>MDT</t>
  </si>
  <si>
    <t>MDT_Binance_60_001</t>
  </si>
  <si>
    <t>2026-01-20T08:00:21.093725</t>
  </si>
  <si>
    <t>2026-01-20T18:00:14.767600</t>
  </si>
  <si>
    <t>db1382ed-4dc7-44bf-a629-a0be9e48238a</t>
  </si>
  <si>
    <t>JUV_Binance_18_001</t>
  </si>
  <si>
    <t>2026-01-20T12:18:08.729211</t>
  </si>
  <si>
    <t>2026-01-20T15:00:13.526547</t>
  </si>
  <si>
    <t>98d2d884-7997-4703-9f70-9d55fff1c54d</t>
  </si>
  <si>
    <t>ASR_Binance_25_004</t>
  </si>
  <si>
    <t>2026-01-20T10:50:15.798205</t>
  </si>
  <si>
    <t>2026-01-20T15:00:11.933745</t>
  </si>
  <si>
    <t>178077b6-cf88-414c-aebb-a2787904ea44</t>
  </si>
  <si>
    <t>ASR_Binance_30_003</t>
  </si>
  <si>
    <t>2026-01-20T12:00:18.101806</t>
  </si>
  <si>
    <t>2026-01-20T15:00:09.647736</t>
  </si>
  <si>
    <t>f1e47bd0-da19-4ccb-9444-a521e0fe461b</t>
  </si>
  <si>
    <t>ADA_Binance_30_004</t>
  </si>
  <si>
    <t>2026-01-19T07:00:07.709546</t>
  </si>
  <si>
    <t>2026-01-20T15:00:09.588023</t>
  </si>
  <si>
    <t>8a53c898-72b4-4fc4-ac43-55818567b9c2</t>
  </si>
  <si>
    <t>HEI</t>
  </si>
  <si>
    <t>HEI_Binance_28_004</t>
  </si>
  <si>
    <t>2026-01-20T02:20:03.756899</t>
  </si>
  <si>
    <t>2026-01-20T14:56:51.631348</t>
  </si>
  <si>
    <t>84241e53-e374-4138-8858-8153e9bd3e2a</t>
  </si>
  <si>
    <t>RENDER_Binance_59_001</t>
  </si>
  <si>
    <t>2026-01-20T05:54:06.012264</t>
  </si>
  <si>
    <t>2026-01-20T14:45:06.657832</t>
  </si>
  <si>
    <t>3081a7f6-8786-44ba-801e-dd9f6620144b</t>
  </si>
  <si>
    <t>JUV_Binance_34_002</t>
  </si>
  <si>
    <t>2026-01-20T10:46:10.015567</t>
  </si>
  <si>
    <t>2026-01-20T14:44:04.109089</t>
  </si>
  <si>
    <t>f58490d1-6ac4-4bfc-866b-2254c479072d</t>
  </si>
  <si>
    <t>PARTI</t>
  </si>
  <si>
    <t>PARTI_Binance_18_001</t>
  </si>
  <si>
    <t>2026-01-20T13:48:22.068997</t>
  </si>
  <si>
    <t>2026-01-20T14:42:06.643692</t>
  </si>
  <si>
    <t>09765622-1a98-4251-b4f5-66ffc99b3ea4</t>
  </si>
  <si>
    <t>SIGN</t>
  </si>
  <si>
    <t>SIGN_Binance_40_002</t>
  </si>
  <si>
    <t>2026-01-19T00:40:13.037765</t>
  </si>
  <si>
    <t>2026-01-20T13:20:14.264133</t>
  </si>
  <si>
    <t>099177f1-afa8-437a-a3a8-e75f21382421</t>
  </si>
  <si>
    <t>QNT_Binance_59_003</t>
  </si>
  <si>
    <t>2026-01-20T07:52:05.068206</t>
  </si>
  <si>
    <t>2026-01-20T11:48:06.291420</t>
  </si>
  <si>
    <t>1dfe7449-14fa-4825-afbe-02e8b12e9961</t>
  </si>
  <si>
    <t>PYR</t>
  </si>
  <si>
    <t>PYR_Binance_50_002</t>
  </si>
  <si>
    <t>2026-01-20T08:20:07.297976</t>
  </si>
  <si>
    <t>2026-01-20T11:40:09.461584</t>
  </si>
  <si>
    <t>376ceb8f-abd9-4dc0-adfe-684b74d42698</t>
  </si>
  <si>
    <t>SIGN_Binance_33_003</t>
  </si>
  <si>
    <t>2026-01-20T06:36:39.940609</t>
  </si>
  <si>
    <t>2026-01-20T11:35:16.911230</t>
  </si>
  <si>
    <t>3991f1ab-7b33-4832-97c7-c99a1d018d72</t>
  </si>
  <si>
    <t>QNT_Binance_28_006</t>
  </si>
  <si>
    <t>2026-01-20T03:16:04.851324</t>
  </si>
  <si>
    <t>2026-01-20T11:12:07.919861</t>
  </si>
  <si>
    <t>61d4dcc9-a0f7-4c81-82e5-545b6e4a76ac</t>
  </si>
  <si>
    <t>QNT_Binance_39_002</t>
  </si>
  <si>
    <t>2026-01-20T07:48:13.132161</t>
  </si>
  <si>
    <t>2026-01-20T11:03:04.635285</t>
  </si>
  <si>
    <t>98c75f5e-7d6c-4108-a490-5cdf93ba27a5</t>
  </si>
  <si>
    <t>bybit</t>
  </si>
  <si>
    <t>QNT_Bybit_39_004</t>
  </si>
  <si>
    <t>2026-01-20T08:28:21.354368</t>
  </si>
  <si>
    <t>2026-01-20T11:03:04.554898</t>
  </si>
  <si>
    <t>3bc24489-e6d9-4de8-a45b-f759c350b93d</t>
  </si>
  <si>
    <t>MANTA_Binance_33_001</t>
  </si>
  <si>
    <t>2026-01-20T09:21:47.227712</t>
  </si>
  <si>
    <t>2026-01-20T11:01:09.112030</t>
  </si>
  <si>
    <t>1e085576-381d-4b43-84c7-4a1b345b62be</t>
  </si>
  <si>
    <t>KMNO_Binance_18_002</t>
  </si>
  <si>
    <t>2026-01-20T09:19:32.950113</t>
  </si>
  <si>
    <t>2026-01-20T10:48:16.111356</t>
  </si>
  <si>
    <t>4ff4c3f6-59bd-4de6-9ad4-13ecccd18534</t>
  </si>
  <si>
    <t>AMP_Binance_30_001</t>
  </si>
  <si>
    <t>2026-01-20T08:30:10.020752</t>
  </si>
  <si>
    <t>2026-01-20T10:30:06.681050</t>
  </si>
  <si>
    <t>97d0a743-6979-4f32-898b-5162b05aa8df</t>
  </si>
  <si>
    <t>ZK</t>
  </si>
  <si>
    <t>ZK_Binance_35_002</t>
  </si>
  <si>
    <t>2026-01-20T09:20:03.917310</t>
  </si>
  <si>
    <t>2026-01-20T10:30:05.896845</t>
  </si>
  <si>
    <t>ce14ef62-7b00-48f1-9d77-9de245dfabc6</t>
  </si>
  <si>
    <t>NEXO_Binance_22_003</t>
  </si>
  <si>
    <t>2026-01-20T07:21:05.355016</t>
  </si>
  <si>
    <t>2026-01-20T10:16:07.779665</t>
  </si>
  <si>
    <t>d4cd82da-699b-430a-be0c-f300caa7aae6</t>
  </si>
  <si>
    <t>SHELL</t>
  </si>
  <si>
    <t>SHELL_Binance_37_003</t>
  </si>
  <si>
    <t>2026-01-20T07:24:04.019767</t>
  </si>
  <si>
    <t>2026-01-20T09:52:13.732421</t>
  </si>
  <si>
    <t>a3e5a84e-fd12-439e-9d65-98f99014f626</t>
  </si>
  <si>
    <t>OM</t>
  </si>
  <si>
    <t>OM_Binance_30_003</t>
  </si>
  <si>
    <t>2026-01-19T22:01:26.124701</t>
  </si>
  <si>
    <t>2026-01-20T05:30:13.058925</t>
  </si>
  <si>
    <t>ec494170-069c-4220-bcf0-209c7e98f826</t>
  </si>
  <si>
    <t>VRA_Kucoin_61_003</t>
  </si>
  <si>
    <t>2026-01-19T10:12:24.557420</t>
  </si>
  <si>
    <t>2026-01-20T03:04:39.648601</t>
  </si>
  <si>
    <t>c076ec19-87aa-4b43-bece-51c46c2a8c93</t>
  </si>
  <si>
    <t>QNT_Binance_28_005</t>
  </si>
  <si>
    <t>2026-01-19T22:24:04.376533</t>
  </si>
  <si>
    <t>2026-01-20T00:28:03.065948</t>
  </si>
  <si>
    <t>6bc7e46b-0570-495f-9e4e-0e78e0c4f3de</t>
  </si>
  <si>
    <t>PENDLE_Kucoin_50_001</t>
  </si>
  <si>
    <t>2026-01-19T23:20:05.354841</t>
  </si>
  <si>
    <t>2026-01-20T00:00:14.334474</t>
  </si>
  <si>
    <t>84b9f825-b496-4261-b9ba-cec3235d3d57</t>
  </si>
  <si>
    <t>A2Z_Binance_44_001</t>
  </si>
  <si>
    <t>2026-01-19T22:00:47.059810</t>
  </si>
  <si>
    <t>2026-01-19T23:28:42.059955</t>
  </si>
  <si>
    <t>d5246514-e5f0-41c0-98e2-be6573423f10</t>
  </si>
  <si>
    <t>gateio</t>
  </si>
  <si>
    <t>VRA_Gateio_52_002</t>
  </si>
  <si>
    <t>2026-01-19T17:20:08.409159</t>
  </si>
  <si>
    <t>2026-01-19T23:24:03.995129</t>
  </si>
  <si>
    <t>e2c12d1f-910a-4266-abd7-ff249799c120</t>
  </si>
  <si>
    <t>VRA_Mexc_61_002</t>
  </si>
  <si>
    <t>2026-01-19T15:15:37.536122</t>
  </si>
  <si>
    <t>2026-01-19T23:23:09.285105</t>
  </si>
  <si>
    <t>a9faf954-4891-44aa-829e-64e8937e7207</t>
  </si>
  <si>
    <t>ASR_Binance_25_003</t>
  </si>
  <si>
    <t>2026-01-19T18:45:08.337554</t>
  </si>
  <si>
    <t>2026-01-19T23:20:05.354908</t>
  </si>
  <si>
    <t>e18320b0-91f4-45bb-a3ae-10b2e035e6fc</t>
  </si>
  <si>
    <t>NEXO_Binance_22_002</t>
  </si>
  <si>
    <t>2026-01-19T19:04:16.913923</t>
  </si>
  <si>
    <t>2026-01-19T20:10:05.129653</t>
  </si>
  <si>
    <t>a4b4a6c3-3039-4dd7-91d1-55a08f93a5bb</t>
  </si>
  <si>
    <t>okx</t>
  </si>
  <si>
    <t>SOL</t>
  </si>
  <si>
    <t>SOL_Okx_240_001</t>
  </si>
  <si>
    <t>2026-01-19T08:00:02.823509</t>
  </si>
  <si>
    <t>2026-01-19T20:00:05.525162</t>
  </si>
  <si>
    <t>fe5e8891-2c43-42aa-a074-cc734858d5a7</t>
  </si>
  <si>
    <t>BAR</t>
  </si>
  <si>
    <t>BAR_Binance_27_001</t>
  </si>
  <si>
    <t>2026-01-19T18:54:08.139805</t>
  </si>
  <si>
    <t>2026-01-19T19:48:05.664937</t>
  </si>
  <si>
    <t>72297a71-bf4f-41c7-83b3-ed204939187c</t>
  </si>
  <si>
    <t>SUI_Binance_169_001</t>
  </si>
  <si>
    <t>2026-01-19T05:38:02.145181</t>
  </si>
  <si>
    <t>2026-01-19T19:43:08.143648</t>
  </si>
  <si>
    <t>f4f03033-c026-458d-9730-1fda4c80c548</t>
  </si>
  <si>
    <t>LRC</t>
  </si>
  <si>
    <t>LRC_Binance_28_001</t>
  </si>
  <si>
    <t>2026-01-19T00:00:18.886802</t>
  </si>
  <si>
    <t>2026-01-19T19:36:46.817742</t>
  </si>
  <si>
    <t>44e219ee-69e0-484c-92fd-e403d3d6784b</t>
  </si>
  <si>
    <t>GLM</t>
  </si>
  <si>
    <t>GLM_Binance_51_001</t>
  </si>
  <si>
    <t>2026-01-19T16:10:45.249908</t>
  </si>
  <si>
    <t>2026-01-19T19:35:36.204986</t>
  </si>
  <si>
    <t>70fbc4b2-fd4c-4b47-a974-0ced43ecf803</t>
  </si>
  <si>
    <t>SHIB</t>
  </si>
  <si>
    <t>SHIB_Binance_25_001</t>
  </si>
  <si>
    <t>2026-01-19T00:00:21.906692</t>
  </si>
  <si>
    <t>2026-01-19T19:35:04.623790</t>
  </si>
  <si>
    <t>c837bd1f-18ea-4e04-ad41-f5e79850f953</t>
  </si>
  <si>
    <t>ROSE_Binance_54_003</t>
  </si>
  <si>
    <t>2026-01-19T17:06:02.497816</t>
  </si>
  <si>
    <t>2026-01-19T18:54:02.392687</t>
  </si>
  <si>
    <t>29a0fdbf-6c9a-42f7-8e18-e7bcf603498a</t>
  </si>
  <si>
    <t>KMNO_Binance_18_001</t>
  </si>
  <si>
    <t>2026-01-17T16:49:22.289566</t>
  </si>
  <si>
    <t>2026-01-19T18:36:04.686233</t>
  </si>
  <si>
    <t>8705b12a-ea2c-48b3-bd55-d33b848c1ca1</t>
  </si>
  <si>
    <t>DOG</t>
  </si>
  <si>
    <t>DOG_Mexc_22_001</t>
  </si>
  <si>
    <t>2026-01-19T14:18:09.433391</t>
  </si>
  <si>
    <t>2026-01-19T17:58:42.959850</t>
  </si>
  <si>
    <t>5a7dd97a-7d37-4cd5-a7fa-180024f476c9</t>
  </si>
  <si>
    <t>OG</t>
  </si>
  <si>
    <t>OG_Binance_47_002</t>
  </si>
  <si>
    <t>2026-01-19T00:47:03.071692</t>
  </si>
  <si>
    <t>2026-01-19T17:14:03.650026</t>
  </si>
  <si>
    <t>68e86a6d-3787-4640-a2b5-680cf5ab5806</t>
  </si>
  <si>
    <t>SIGN_Binance_33_002</t>
  </si>
  <si>
    <t>2026-01-19T11:33:16.843750</t>
  </si>
  <si>
    <t>2026-01-19T17:03:20.861522</t>
  </si>
  <si>
    <t>9ecb18c9-ad30-4826-954a-02cc7ede036a</t>
  </si>
  <si>
    <t>QNT_Binance_28_004</t>
  </si>
  <si>
    <t>2026-01-19T14:56:03.407094</t>
  </si>
  <si>
    <t>2026-01-19T16:48:06.981618</t>
  </si>
  <si>
    <t>0add6b2b-8a9b-48cf-b155-6ca1899288fd</t>
  </si>
  <si>
    <t>SYRUP_Binance_28_001</t>
  </si>
  <si>
    <t>2026-01-19T16:20:41.295988</t>
  </si>
  <si>
    <t>2026-01-19T16:48:03.073055</t>
  </si>
  <si>
    <t>37617d23-7fd5-4618-8789-331a80d456de</t>
  </si>
  <si>
    <t>BAT</t>
  </si>
  <si>
    <t>BAT_Binance_45_003</t>
  </si>
  <si>
    <t>2026-01-19T15:00:11.568110</t>
  </si>
  <si>
    <t>2026-01-19T16:30:10.148956</t>
  </si>
  <si>
    <t>8ddc376a-e412-468f-b23c-b99907110f30</t>
  </si>
  <si>
    <t>QNT_Bybit_39_003</t>
  </si>
  <si>
    <t>2026-01-19T15:37:22.365378</t>
  </si>
  <si>
    <t>2026-01-19T16:15:08.865014</t>
  </si>
  <si>
    <t>f87a89cd-f924-40d1-9151-c6265f612fe2</t>
  </si>
  <si>
    <t>LUNC</t>
  </si>
  <si>
    <t>LUNC_Gateio_60_001</t>
  </si>
  <si>
    <t>2026-01-19T02:00:47.172290</t>
  </si>
  <si>
    <t>2026-01-19T16:00:21.993267</t>
  </si>
  <si>
    <t>5a8e85e8-e1e0-4fb2-86a1-8b407da75863</t>
  </si>
  <si>
    <t>NEXO_Binance_25_002</t>
  </si>
  <si>
    <t>2026-01-19T13:45:36.308018</t>
  </si>
  <si>
    <t>2026-01-19T15:25:04.180975</t>
  </si>
  <si>
    <t>15f6b5d2-51ef-4df8-9dd0-4351e5d4b9aa</t>
  </si>
  <si>
    <t>VET</t>
  </si>
  <si>
    <t>VET_Mexc_61_001</t>
  </si>
  <si>
    <t>2026-01-19T02:02:01.808418</t>
  </si>
  <si>
    <t>2026-01-19T15:15:06.207230</t>
  </si>
  <si>
    <t>b6af00b2-5d18-4a3e-9b7c-1cb5d6037bcd</t>
  </si>
  <si>
    <t>OM_Binance_30_002</t>
  </si>
  <si>
    <t>2026-01-19T13:00:28.601322</t>
  </si>
  <si>
    <t>2026-01-19T15:00:12.290395</t>
  </si>
  <si>
    <t>b48c1869-148e-4297-8940-074ad49bda1a</t>
  </si>
  <si>
    <t>GRT</t>
  </si>
  <si>
    <t>GRT_Binance_33_001</t>
  </si>
  <si>
    <t>2026-01-19T06:03:05.476020</t>
  </si>
  <si>
    <t>2026-01-19T14:51:10.247609</t>
  </si>
  <si>
    <t>a5c72abe-48f5-4167-a0b2-feb2901b89df</t>
  </si>
  <si>
    <t>XVS</t>
  </si>
  <si>
    <t>XVS_Binance_61_002</t>
  </si>
  <si>
    <t>2026-01-19T12:16:58.471234</t>
  </si>
  <si>
    <t>2026-01-19T14:20:13.678758</t>
  </si>
  <si>
    <t>1980b2c3-b72a-4a67-b987-226ab288e14c</t>
  </si>
  <si>
    <t>SUPRA</t>
  </si>
  <si>
    <t>SUPRA_Kucoin_27_001</t>
  </si>
  <si>
    <t>2026-01-19T06:45:01.347380</t>
  </si>
  <si>
    <t>2026-01-19T11:45:03.801646</t>
  </si>
  <si>
    <t>4c1c9a22-5e48-4c27-a6a1-e4cd757b6765</t>
  </si>
  <si>
    <t>KMNO_Binance_28_001</t>
  </si>
  <si>
    <t>2026-01-17T22:24:30.165606</t>
  </si>
  <si>
    <t>2026-01-19T11:42:06.336629</t>
  </si>
  <si>
    <t>e7b07f84-c0b8-49e1-b799-938ff9f2d7ce</t>
  </si>
  <si>
    <t>AMP_Binance_52_001</t>
  </si>
  <si>
    <t>2026-01-19T02:36:34.057562</t>
  </si>
  <si>
    <t>2026-01-19T10:24:52.951953</t>
  </si>
  <si>
    <t>3f630cc0-5430-4efb-bfbf-5f00576cd9a3</t>
  </si>
  <si>
    <t>VRA_Gateio_52_001</t>
  </si>
  <si>
    <t>2026-01-19T06:04:07.074710</t>
  </si>
  <si>
    <t>2026-01-19T10:24:03.088119</t>
  </si>
  <si>
    <t>1e725784-d380-4dc4-9214-09a14788d33d</t>
  </si>
  <si>
    <t>VRA_Mexc_61_001</t>
  </si>
  <si>
    <t>2026-01-19T03:03:27.406984</t>
  </si>
  <si>
    <t>2026-01-19T10:10:05.273739</t>
  </si>
  <si>
    <t>6c6ff66c-868a-4502-8e47-8773a4bebfc6</t>
  </si>
  <si>
    <t>ASTR</t>
  </si>
  <si>
    <t>ASTR_Binance_60_001</t>
  </si>
  <si>
    <t>2026-01-19T07:00:13.701370</t>
  </si>
  <si>
    <t>2026-01-19T10:08:16.178657</t>
  </si>
  <si>
    <t>0a2a3f81-01b3-4cad-9308-35073e2b689f</t>
  </si>
  <si>
    <t>TAO_Mexc_43_003</t>
  </si>
  <si>
    <t>2026-01-19T00:43:01.364040</t>
  </si>
  <si>
    <t>2026-01-19T10:02:06.695978</t>
  </si>
  <si>
    <t>8fb3d921-907e-4275-ae2b-180c910f4729</t>
  </si>
  <si>
    <t>AMP_Binance_54_001</t>
  </si>
  <si>
    <t>2026-01-19T07:12:04.112341</t>
  </si>
  <si>
    <t>2026-01-19T09:54:32.179228</t>
  </si>
  <si>
    <t>14c955f5-83a0-4bed-9c96-e383a0dd704a</t>
  </si>
  <si>
    <t>HEI_Binance_33_001</t>
  </si>
  <si>
    <t>2026-01-19T00:00:30.182339</t>
  </si>
  <si>
    <t>2026-01-19T09:21:04.533329</t>
  </si>
  <si>
    <t>624e5ff7-e4cb-4d45-9dbe-5a6ecb0fc34e</t>
  </si>
  <si>
    <t>HBAR</t>
  </si>
  <si>
    <t>HBAR_Binance_61_001</t>
  </si>
  <si>
    <t>2026-01-19T02:02:02.060773</t>
  </si>
  <si>
    <t>2026-01-19T09:09:02.676208</t>
  </si>
  <si>
    <t>f703a1a9-db7f-419d-b289-df945e68b7f4</t>
  </si>
  <si>
    <t>HYPE</t>
  </si>
  <si>
    <t>HYPE_Kucoin_19_001</t>
  </si>
  <si>
    <t>2026-01-19T00:00:30.123011</t>
  </si>
  <si>
    <t>2026-01-19T08:52:04.146134</t>
  </si>
  <si>
    <t>d5246219-d9b7-41c8-8206-ba38e6115601</t>
  </si>
  <si>
    <t>SOL_Binance_59_001</t>
  </si>
  <si>
    <t>2026-01-19T02:57:02.276241</t>
  </si>
  <si>
    <t>2026-01-19T08:51:02.385612</t>
  </si>
  <si>
    <t>63978b8e-6933-4753-96f6-b049a986a516</t>
  </si>
  <si>
    <t>ONDO</t>
  </si>
  <si>
    <t>ONDO_Kucoin_33_001</t>
  </si>
  <si>
    <t>2026-01-19T06:03:16.048253</t>
  </si>
  <si>
    <t>2026-01-19T08:48:07.157897</t>
  </si>
  <si>
    <t>c0813236-75c8-4d8a-94d0-0ced7458a38c</t>
  </si>
  <si>
    <t>ONDO_Kucoin_33_002</t>
  </si>
  <si>
    <t>2026-01-19T06:03:16.060848</t>
  </si>
  <si>
    <t>2026-01-19T08:48:01.192301</t>
  </si>
  <si>
    <t>08477415-f955-4860-8872-90564c100f71</t>
  </si>
  <si>
    <t>XRP</t>
  </si>
  <si>
    <t>XRP_Binance_35_001</t>
  </si>
  <si>
    <t>2026-01-19T07:35:03.213323</t>
  </si>
  <si>
    <t>2026-01-19T08:45:05.840162</t>
  </si>
  <si>
    <t>30f07325-f335-4bbd-acca-3d245a061281</t>
  </si>
  <si>
    <t>KMNO_Binance_43_001</t>
  </si>
  <si>
    <t>2026-01-18T16:29:05.385557</t>
  </si>
  <si>
    <t>2026-01-19T08:36:49.036823</t>
  </si>
  <si>
    <t>6e0d628d-a41b-41c8-ab6c-23bb44dfeaa5</t>
  </si>
  <si>
    <t>ONDO_Gateio_30_001</t>
  </si>
  <si>
    <t>2026-01-19T06:00:13.599247</t>
  </si>
  <si>
    <t>2026-01-19T08:30:09.076912</t>
  </si>
  <si>
    <t>e7df410b-8a9e-4e2f-aa6b-4fc9599109ef</t>
  </si>
  <si>
    <t>OM_Binance_30_001</t>
  </si>
  <si>
    <t>2026-01-19T05:30:10.826829</t>
  </si>
  <si>
    <t>2026-01-19T08:30:07.670878</t>
  </si>
  <si>
    <t>dc62d353-ef0e-4331-9203-5c1450ed542b</t>
  </si>
  <si>
    <t>ADX</t>
  </si>
  <si>
    <t>ADX_Binance_169_001</t>
  </si>
  <si>
    <t>2026-01-19T05:38:14.037065</t>
  </si>
  <si>
    <t>2026-01-19T08:27:04.908422</t>
  </si>
  <si>
    <t>17aa6c34-8a31-416b-a224-7510e73f57f8</t>
  </si>
  <si>
    <t>SOL_Binance_39_001</t>
  </si>
  <si>
    <t>2026-01-19T07:09:02.403201</t>
  </si>
  <si>
    <t>2026-01-19T08:27:03.236256</t>
  </si>
  <si>
    <t>cc376c05-8150-4535-8b6b-bdde44f40529</t>
  </si>
  <si>
    <t>YFI</t>
  </si>
  <si>
    <t>YFI_Binance_28_001</t>
  </si>
  <si>
    <t>2026-01-19T00:56:02.192881</t>
  </si>
  <si>
    <t>2026-01-19T07:56:30.193706</t>
  </si>
  <si>
    <t>56c5f467-de09-4270-b4b0-bd9894e17090</t>
  </si>
  <si>
    <t>BANANAS31</t>
  </si>
  <si>
    <t>BANANAS31_Binance_30_001</t>
  </si>
  <si>
    <t>2026-01-19T04:00:18.809906</t>
  </si>
  <si>
    <t>2026-01-19T07:30:52.159259</t>
  </si>
  <si>
    <t>b91372ce-2b7a-4b74-8cb9-6c2086b6e1c8</t>
  </si>
  <si>
    <t>FTT</t>
  </si>
  <si>
    <t>FTT_Binance_45_001</t>
  </si>
  <si>
    <t>2026-01-19T03:01:28.075418</t>
  </si>
  <si>
    <t>2026-01-19T07:30:08.398546</t>
  </si>
  <si>
    <t>d7226bc8-d020-4ce5-8631-6ea8ae6d5262</t>
  </si>
  <si>
    <t>TUT_Binance_37_002</t>
  </si>
  <si>
    <t>2026-01-19T06:10:18.144603</t>
  </si>
  <si>
    <t>2026-01-19T07:24:51.246531</t>
  </si>
  <si>
    <t>8797d4ff-6c8e-4e2f-bbdf-a0d98a7c7acb</t>
  </si>
  <si>
    <t>NEXO_Binance_22_001</t>
  </si>
  <si>
    <t>2026-01-19T00:00:23.941577</t>
  </si>
  <si>
    <t>2026-01-19T07:20:04.858432</t>
  </si>
  <si>
    <t>6cb2f02b-03df-4556-905c-193bce5a18dc</t>
  </si>
  <si>
    <t>CITY</t>
  </si>
  <si>
    <t>CITY_Binance_53_001</t>
  </si>
  <si>
    <t>2026-01-19T00:53:06.041978</t>
  </si>
  <si>
    <t>2026-01-19T07:04:21.062457</t>
  </si>
  <si>
    <t>c8597b12-6206-465a-a385-e3ac558c362a</t>
  </si>
  <si>
    <t>NEXO_Binance_53_001</t>
  </si>
  <si>
    <t>2026-01-19T00:53:21.059337</t>
  </si>
  <si>
    <t>2026-01-19T07:04:06.220640</t>
  </si>
  <si>
    <t>742e21ee-96a2-40b8-a722-e65de95151f2</t>
  </si>
  <si>
    <t>YFI_Binance_35_001</t>
  </si>
  <si>
    <t>2026-01-19T00:35:05.870093</t>
  </si>
  <si>
    <t>2026-01-19T06:25:10.298578</t>
  </si>
  <si>
    <t>b0990450-6b9d-4024-a721-7ad07810b8f0</t>
  </si>
  <si>
    <t>JUV_Binance_34_001</t>
  </si>
  <si>
    <t>2026-01-17T14:44:24.050250</t>
  </si>
  <si>
    <t>2026-01-19T05:40:12.475985</t>
  </si>
  <si>
    <t>f8e83a6d-5982-4daa-a714-c6937d926fc0</t>
  </si>
  <si>
    <t>ALGO</t>
  </si>
  <si>
    <t>ALGO_Binance_28_001</t>
  </si>
  <si>
    <t>2026-01-19T00:56:03.131002</t>
  </si>
  <si>
    <t>2026-01-19T05:36:10.005147</t>
  </si>
  <si>
    <t>8ab05796-f25c-4bdb-92d3-cc598f3e47e3</t>
  </si>
  <si>
    <t>QNT_Binance_45_003</t>
  </si>
  <si>
    <t>2026-01-19T00:00:33.190606</t>
  </si>
  <si>
    <t>2026-01-19T05:15:14.086155</t>
  </si>
  <si>
    <t>71d8652e-7c6d-4e4c-980d-be0c216acf8e</t>
  </si>
  <si>
    <t>XLM</t>
  </si>
  <si>
    <t>XLM_Binance_60_001</t>
  </si>
  <si>
    <t>2026-01-19T02:00:09.386919</t>
  </si>
  <si>
    <t>2026-01-19T05:00:11.032126</t>
  </si>
  <si>
    <t>37c240fe-b314-47ff-914b-36f8863df963</t>
  </si>
  <si>
    <t>QNT_Binance_28_003</t>
  </si>
  <si>
    <t>2026-01-19T00:00:18.263213</t>
  </si>
  <si>
    <t>2026-01-19T04:40:10.954524</t>
  </si>
  <si>
    <t>5b2ccaf5-429c-4801-b34e-379cfb01cde2</t>
  </si>
  <si>
    <t>QNT_Bybit_39_002</t>
  </si>
  <si>
    <t>2026-01-19T00:00:23.443124</t>
  </si>
  <si>
    <t>2026-01-19T04:33:08.520066</t>
  </si>
  <si>
    <t>55f9db24-31b5-47ea-9332-1e1b4db9267b</t>
  </si>
  <si>
    <t>TAO_Binance_18_001</t>
  </si>
  <si>
    <t>2026-01-19T00:18:03.217293</t>
  </si>
  <si>
    <t>2026-01-19T04:12:03.295099</t>
  </si>
  <si>
    <t>1f4bf132-cbd9-41d2-8d50-352ea9dc2b58</t>
  </si>
  <si>
    <t>PIPPIN</t>
  </si>
  <si>
    <t>PIPPIN_Mexc_61_001</t>
  </si>
  <si>
    <t>2026-01-19T03:03:45.267579</t>
  </si>
  <si>
    <t>2026-01-19T04:04:52.713074</t>
  </si>
  <si>
    <t>65dd52b6-e365-4298-86b4-dc888dd717e4</t>
  </si>
  <si>
    <t>AMP_Binance_55_001</t>
  </si>
  <si>
    <t>2026-01-19T01:50:04.190580</t>
  </si>
  <si>
    <t>2026-01-19T03:44:27.814769</t>
  </si>
  <si>
    <t>d162ee69-613d-4f91-8a5f-ef1d16a1a19d</t>
  </si>
  <si>
    <t>MUBARAK_Binance_24_001</t>
  </si>
  <si>
    <t>2026-01-19T02:48:14.157033</t>
  </si>
  <si>
    <t>2026-01-19T03:36:10.036369</t>
  </si>
  <si>
    <t>13068787-dc89-4d85-8da8-d36d77be39e8</t>
  </si>
  <si>
    <t>ROSE_Binance_54_002</t>
  </si>
  <si>
    <t>2026-01-19T00:54:06.076177</t>
  </si>
  <si>
    <t>2026-01-19T03:36:02.281595</t>
  </si>
  <si>
    <t>e6ca00c3-d0e8-4a6c-8f54-8542b2dd651e</t>
  </si>
  <si>
    <t>HEI_Binance_28_003</t>
  </si>
  <si>
    <t>2026-01-19T01:25:45.100819</t>
  </si>
  <si>
    <t>2026-01-19T03:17:01.140863</t>
  </si>
  <si>
    <t>5074a436-d300-45ec-82f4-329f628de4f4</t>
  </si>
  <si>
    <t>SD</t>
  </si>
  <si>
    <t>SD_Bybit_30_001</t>
  </si>
  <si>
    <t>2026-01-19T02:07:46.149306</t>
  </si>
  <si>
    <t>2026-01-19T02:30:08.205687</t>
  </si>
  <si>
    <t>ee97887b-d51b-45fe-aabc-2d89c1f941d1</t>
  </si>
  <si>
    <t>ADA_Binance_30_003</t>
  </si>
  <si>
    <t>2026-01-19T01:00:13.825633</t>
  </si>
  <si>
    <t>2026-01-19T02:30:05.763367</t>
  </si>
  <si>
    <t>ab69ca60-6bec-4562-84ee-48ad7507c948</t>
  </si>
  <si>
    <t>TUT_Binance_37_001</t>
  </si>
  <si>
    <t>2026-01-19T01:14:02.948818</t>
  </si>
  <si>
    <t>2026-01-19T02:28:27.287724</t>
  </si>
  <si>
    <t>cc3962d0-1d97-48df-8215-b1d32d60d014</t>
  </si>
  <si>
    <t>NEXO_Binance_25_001</t>
  </si>
  <si>
    <t>2026-01-19T00:25:16.036906</t>
  </si>
  <si>
    <t>2026-01-19T01:15:10.313507</t>
  </si>
  <si>
    <t>0829255a-00cd-4d9f-9e0e-2e17ef6bf92f</t>
  </si>
  <si>
    <t>SHELL_Binance_37_002</t>
  </si>
  <si>
    <t>2026-01-19T00:37:02.225706</t>
  </si>
  <si>
    <t>2026-01-19T01:14:02.390258</t>
  </si>
  <si>
    <t>99e259f7-0216-411d-8392-805d560f1283</t>
  </si>
  <si>
    <t>QNT_Binance_37_001</t>
  </si>
  <si>
    <t>2026-01-19T00:37:04.046046</t>
  </si>
  <si>
    <t>2026-01-19T01:14:02.380291</t>
  </si>
  <si>
    <t>f5d44f0c-cac5-47a8-868c-b73f31c602fc</t>
  </si>
  <si>
    <t>ZK_Binance_35_001</t>
  </si>
  <si>
    <t>2026-01-19T00:35:03.629029</t>
  </si>
  <si>
    <t>2026-01-19T01:10:07.328500</t>
  </si>
  <si>
    <t>3d87c4ca-827d-43f4-b69f-dc68dcfaa162</t>
  </si>
  <si>
    <t>ADA_Binance_30_002</t>
  </si>
  <si>
    <t>2026-01-19T01:00:11.067128</t>
  </si>
  <si>
    <t>2026-01-19T01:00:12.446098</t>
  </si>
  <si>
    <t>e1b91c46-c50a-4add-a6aa-0a7eb417f2dd</t>
  </si>
  <si>
    <t>ADA_Binance_30_001</t>
  </si>
  <si>
    <t>2026-01-19T00:30:07.471111</t>
  </si>
  <si>
    <t>2026-01-19T01:00:09.665723</t>
  </si>
  <si>
    <t>721d2074-8965-418c-99c9-c8062f291b9e</t>
  </si>
  <si>
    <t>TAO_Binance_28_001</t>
  </si>
  <si>
    <t>2026-01-19T00:28:02.148185</t>
  </si>
  <si>
    <t>2026-01-19T00:56:03.047767</t>
  </si>
  <si>
    <t>d5509934-db66-4bd9-ab7c-64f1c6ea3790</t>
  </si>
  <si>
    <t>HEI_Binance_28_002</t>
  </si>
  <si>
    <t>2026-01-19T00:29:10.019639</t>
  </si>
  <si>
    <t>2026-01-19T00:56:02.936005</t>
  </si>
  <si>
    <t>1d7bdfb0-19bc-4420-b097-4099e3762f48</t>
  </si>
  <si>
    <t>VRA_Kucoin_61_002</t>
  </si>
  <si>
    <t>2026-01-18T21:21:02.012958</t>
  </si>
  <si>
    <t>2026-01-18T22:23:45.032217</t>
  </si>
  <si>
    <t>f4d21795-b72d-49e7-937a-8c8d40344552</t>
  </si>
  <si>
    <t>SAND_Binance_30_001</t>
  </si>
  <si>
    <t>2026-01-18T11:00:04.432367</t>
  </si>
  <si>
    <t>2026-01-18T22:00:04.384880</t>
  </si>
  <si>
    <t>6a052d44-6990-41e8-8dfd-8f71e0a47b9b</t>
  </si>
  <si>
    <t>OG_Binance_47_001</t>
  </si>
  <si>
    <t>2026-01-18T00:00:16.083252</t>
  </si>
  <si>
    <t>2026-01-18T18:48:02.225089</t>
  </si>
  <si>
    <t>ce067ef8-c089-4d94-a145-eb07a52e05f9</t>
  </si>
  <si>
    <t>BAT_Binance_45_002</t>
  </si>
  <si>
    <t>2026-01-18T03:00:05.290148</t>
  </si>
  <si>
    <t>2026-01-18T18:45:55.206943</t>
  </si>
  <si>
    <t>dd1a6063-2fcb-418a-a0b7-4564a7dea564</t>
  </si>
  <si>
    <t>SPK_Binance_28_001</t>
  </si>
  <si>
    <t>2026-01-18T15:24:12.630894</t>
  </si>
  <si>
    <t>2026-01-18T18:40:19.288466</t>
  </si>
  <si>
    <t>d3cb63cd-b903-46f6-9ee0-2e50f70b8900</t>
  </si>
  <si>
    <t>TAO_Mexc_43_002</t>
  </si>
  <si>
    <t>2026-01-18T17:55:18.636371</t>
  </si>
  <si>
    <t>2026-01-18T18:38:01.139515</t>
  </si>
  <si>
    <t>0fa18bef-4d16-48a5-9999-617b57dde559</t>
  </si>
  <si>
    <t>KMNO_Binance_31_001</t>
  </si>
  <si>
    <t>2026-01-18T15:30:47.147311</t>
  </si>
  <si>
    <t>2026-01-18T18:37:02.239089</t>
  </si>
  <si>
    <t>d880a680-74a1-4217-bbc0-1dcde870e8c1</t>
  </si>
  <si>
    <t>ASR_Binance_30_002</t>
  </si>
  <si>
    <t>2026-01-18T11:00:03.907607</t>
  </si>
  <si>
    <t>2026-01-18T18:30:05.546243</t>
  </si>
  <si>
    <t>c5fd9233-669b-4eab-a713-2cc22909b9a0</t>
  </si>
  <si>
    <t>ASR_Binance_19_001</t>
  </si>
  <si>
    <t>2026-01-18T11:28:18.341586</t>
  </si>
  <si>
    <t>2026-01-18T18:22:03.253905</t>
  </si>
  <si>
    <t>c0905ae8-7b23-4650-9180-4466d84c9faf</t>
  </si>
  <si>
    <t>ASR_Binance_25_002</t>
  </si>
  <si>
    <t>2026-01-18T10:51:15.337041</t>
  </si>
  <si>
    <t>2026-01-18T18:20:26.384389</t>
  </si>
  <si>
    <t>054fc8fc-fbe9-41cb-ac0e-59efd32e1e51</t>
  </si>
  <si>
    <t>XVS_Binance_61_001</t>
  </si>
  <si>
    <t>2026-01-17T18:26:36.603757</t>
  </si>
  <si>
    <t>2026-01-18T17:21:01.301207</t>
  </si>
  <si>
    <t>93f720a0-7c8f-4395-bcc4-8a4284813ede</t>
  </si>
  <si>
    <t>VRA_Kucoin_61_001</t>
  </si>
  <si>
    <t>2026-01-18T13:13:15.484554</t>
  </si>
  <si>
    <t>2026-01-18T15:15:03.808867</t>
  </si>
  <si>
    <t>2699c760-d119-44d7-afdf-4b6db1088687</t>
  </si>
  <si>
    <t>TAO_Mexc_43_001</t>
  </si>
  <si>
    <t>2026-01-18T01:26:02.843333</t>
  </si>
  <si>
    <t>2026-01-18T15:03:08.340544</t>
  </si>
  <si>
    <t>1c73881e-e85b-44fb-809a-ee6d85ec04b1</t>
  </si>
  <si>
    <t>SIGN_Binance_40_001</t>
  </si>
  <si>
    <t>2026-01-18T06:00:36.150805</t>
  </si>
  <si>
    <t>2026-01-18T12:01:07.991935</t>
  </si>
  <si>
    <t>663d591f-96a2-4a96-a640-bbbe6aa52964</t>
  </si>
  <si>
    <t>CHR</t>
  </si>
  <si>
    <t>CHR_Binance_59_001</t>
  </si>
  <si>
    <t>2026-01-18T01:59:03.059579</t>
  </si>
  <si>
    <t>2026-01-18T11:49:02.056083</t>
  </si>
  <si>
    <t>c505d05c-f712-4036-b6c6-604e45e25549</t>
  </si>
  <si>
    <t>PYR_Kucoin_44_001</t>
  </si>
  <si>
    <t>2026-01-18T04:24:29.060843</t>
  </si>
  <si>
    <t>2026-01-18T11:44:51.295440</t>
  </si>
  <si>
    <t>0eb0ebf6-9944-4f69-85cd-e0234504958e</t>
  </si>
  <si>
    <t>SIGN_Binance_33_001</t>
  </si>
  <si>
    <t>2026-01-18T05:30:06.283632</t>
  </si>
  <si>
    <t>2026-01-18T11:33:07.307009</t>
  </si>
  <si>
    <t>a6b47d08-7632-46f8-8a70-8bf384421913</t>
  </si>
  <si>
    <t>HEI_Binance_28_001</t>
  </si>
  <si>
    <t>2026-01-18T03:44:09.353738</t>
  </si>
  <si>
    <t>2026-01-18T11:12:02.207448</t>
  </si>
  <si>
    <t>20d88b9e-d86a-4708-8956-34f5e15f8847</t>
  </si>
  <si>
    <t>SHELL_Binance_37_001</t>
  </si>
  <si>
    <t>2026-01-17T22:52:34.425790</t>
  </si>
  <si>
    <t>2026-01-18T10:30:13.611196</t>
  </si>
  <si>
    <t>59e5e8cc-8611-4b1a-b49b-20e53f1c034a</t>
  </si>
  <si>
    <t>PYR_Binance_50_001</t>
  </si>
  <si>
    <t>2026-01-18T07:30:11.131938</t>
  </si>
  <si>
    <t>2026-01-18T09:10:18.063054</t>
  </si>
  <si>
    <t>a2655908-6cab-430e-b7ef-07a300f358b8</t>
  </si>
  <si>
    <t>AUDIO</t>
  </si>
  <si>
    <t>AUDIO_Binance_60_001</t>
  </si>
  <si>
    <t>2026-01-18T05:00:28.234515</t>
  </si>
  <si>
    <t>2026-01-18T09:01:01.474953</t>
  </si>
  <si>
    <t>8f3789e3-af22-4651-bb79-7498f020987d</t>
  </si>
  <si>
    <t>EPIC</t>
  </si>
  <si>
    <t>EPIC_Binance_52_001</t>
  </si>
  <si>
    <t>2026-01-18T04:22:00.428764</t>
  </si>
  <si>
    <t>2026-01-18T08:41:04.288945</t>
  </si>
  <si>
    <t>1101445d-d045-4083-88cc-214e0a9560b7</t>
  </si>
  <si>
    <t>QNT_Binance_39_001</t>
  </si>
  <si>
    <t>2026-01-18T03:15:05.186689</t>
  </si>
  <si>
    <t>2026-01-18T08:27:03.950052</t>
  </si>
  <si>
    <t>9b2dc9ee-6469-4a93-ab30-cc471d5aa98e</t>
  </si>
  <si>
    <t>QNT_Binance_28_002</t>
  </si>
  <si>
    <t>2026-01-18T02:20:13.513802</t>
  </si>
  <si>
    <t>2026-01-18T07:56:02.258453</t>
  </si>
  <si>
    <t>8b12cbc0-478d-4792-9bad-f1e849014e89</t>
  </si>
  <si>
    <t>QNT_Binance_59_002</t>
  </si>
  <si>
    <t>2026-01-18T03:56:03.240134</t>
  </si>
  <si>
    <t>2026-01-18T07:52:02.405974</t>
  </si>
  <si>
    <t>35ad3084-d16c-4808-8b90-5e40bf4da5c2</t>
  </si>
  <si>
    <t>JUV_Binance_59_001</t>
  </si>
  <si>
    <t>2026-01-17T18:41:23.447331</t>
  </si>
  <si>
    <t>2026-01-18T05:54:17.539724</t>
  </si>
  <si>
    <t>3959859a-583f-40d6-9ea8-450beae3853d</t>
  </si>
  <si>
    <t>ROSE_Binance_54_001</t>
  </si>
  <si>
    <t>2026-01-17T22:30:36.130874</t>
  </si>
  <si>
    <t>2026-01-18T05:25:04.905817</t>
  </si>
  <si>
    <t>700ede13-ef8e-4716-b81c-f98ca5b8d95e</t>
  </si>
  <si>
    <t>QNT_Binance_45_002</t>
  </si>
  <si>
    <t>2026-01-18T04:30:03.931394</t>
  </si>
  <si>
    <t>2026-01-18T05:15:12.276654</t>
  </si>
  <si>
    <t>e395f8d1-fe51-4163-a621-19fe3f7ba58b</t>
  </si>
  <si>
    <t>QNT_Bybit_39_001</t>
  </si>
  <si>
    <t>2026-01-18T04:33:30.196950</t>
  </si>
  <si>
    <t>2026-01-18T05:13:03.096891</t>
  </si>
  <si>
    <t>c4e0a3d5-7555-44a9-a05c-02372e28fe12</t>
  </si>
  <si>
    <t>ICP</t>
  </si>
  <si>
    <t>ICP_Mexc_50_001</t>
  </si>
  <si>
    <t>2026-01-18T03:20:02.726945</t>
  </si>
  <si>
    <t>2026-01-18T04:10:12.908704</t>
  </si>
  <si>
    <t>b4c6265e-cc05-4fa6-af93-d26198af4a1a</t>
  </si>
  <si>
    <t>TWT_Binance_52_001</t>
  </si>
  <si>
    <t>2026-01-17T20:48:04.159017</t>
  </si>
  <si>
    <t>2026-01-18T03:28:04.411763</t>
  </si>
  <si>
    <t>0d8a2fb8-f828-4f94-9739-737c0f74c364</t>
  </si>
  <si>
    <t>1INCH</t>
  </si>
  <si>
    <t>1INCH_Binance_43_001</t>
  </si>
  <si>
    <t>2026-01-18T01:27:47.130590</t>
  </si>
  <si>
    <t>2026-01-18T02:09:04.073181</t>
  </si>
  <si>
    <t>5ab5fc42-eef6-447a-9664-5e4e23569024</t>
  </si>
  <si>
    <t>XTZ</t>
  </si>
  <si>
    <t>XTZ_Binance_59_001</t>
  </si>
  <si>
    <t>2026-01-17T21:38:06.152777</t>
  </si>
  <si>
    <t>2026-01-18T00:59:02.135028</t>
  </si>
  <si>
    <t>8034bf68-65e6-49d2-821a-144e342738f8</t>
  </si>
  <si>
    <t>BAT_Binance_45_001</t>
  </si>
  <si>
    <t>2026-01-18T00:00:15.061298</t>
  </si>
  <si>
    <t>2026-01-18T00:45:02.906453</t>
  </si>
  <si>
    <t>1fd84bb4-e0f6-4a37-82b3-9a944242d725</t>
  </si>
  <si>
    <t>HMSTR</t>
  </si>
  <si>
    <t>HMSTR_Binance_30_001</t>
  </si>
  <si>
    <t>2026-01-17T23:01:16.234439</t>
  </si>
  <si>
    <t>2026-01-18T00:30:04.753524</t>
  </si>
  <si>
    <t>7d8cf1df-693d-417b-a945-64034454c365</t>
  </si>
  <si>
    <t>ASR_Binance_25_001</t>
  </si>
  <si>
    <t>2026-01-17T15:52:21.185584</t>
  </si>
  <si>
    <t>2026-01-18T00:25:33.977389</t>
  </si>
  <si>
    <t>48679991-0f13-4b49-a8f9-6395ebcf62ac</t>
  </si>
  <si>
    <t>ASR_Binance_30_001</t>
  </si>
  <si>
    <t>2026-01-17T23:00:10.247583</t>
  </si>
  <si>
    <t>2026-01-18T00:00:52.074265</t>
  </si>
  <si>
    <t>7628c36c-4042-4bd4-baef-34a3b43ea691</t>
  </si>
  <si>
    <t>QNT_Binance_28_001</t>
  </si>
  <si>
    <t>2026-01-17T13:32:06.285592</t>
  </si>
  <si>
    <t>2026-01-17T18:12:02.249838</t>
  </si>
  <si>
    <t>7255845b-81fb-4ae5-94ef-b38ac4c3d8eb</t>
  </si>
  <si>
    <t>QNT_Binance_59_001</t>
  </si>
  <si>
    <t>2026-01-17T15:44:03.058912</t>
  </si>
  <si>
    <t>2026-01-17T17:42:03.167948</t>
  </si>
  <si>
    <t>deb39ec9-27de-4aca-8822-a10745d39377</t>
  </si>
  <si>
    <t>QNT_Binance_45_001</t>
  </si>
  <si>
    <t>2026-01-17T14:15:03.494983</t>
  </si>
  <si>
    <t>2026-01-17T15:00:07.127069</t>
  </si>
  <si>
    <t>Cummulative Equity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</si>
</sst>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trades_export_20260121!$L$1</c:f>
              <c:strCache>
                <c:ptCount val="1"/>
                <c:pt idx="0">
                  <c:v>Cummulative Equity Curve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trades_export_20260121!$L$2:$L$186</c:f>
              <c:numCache>
                <c:formatCode>General</c:formatCode>
                <c:ptCount val="185"/>
                <c:pt idx="0">
                  <c:v>-0.76161024000007005</c:v>
                </c:pt>
                <c:pt idx="1">
                  <c:v>11.80671343999993</c:v>
                </c:pt>
                <c:pt idx="2">
                  <c:v>93.641192459999829</c:v>
                </c:pt>
                <c:pt idx="3">
                  <c:v>100.7793198599999</c:v>
                </c:pt>
                <c:pt idx="4">
                  <c:v>93.704147059999784</c:v>
                </c:pt>
                <c:pt idx="5">
                  <c:v>104.86770509629969</c:v>
                </c:pt>
                <c:pt idx="6">
                  <c:v>110.94316859629971</c:v>
                </c:pt>
                <c:pt idx="7">
                  <c:v>200.89001753629969</c:v>
                </c:pt>
                <c:pt idx="8">
                  <c:v>191.97429942629958</c:v>
                </c:pt>
                <c:pt idx="9">
                  <c:v>202.56199182629959</c:v>
                </c:pt>
                <c:pt idx="10">
                  <c:v>209.84930334327956</c:v>
                </c:pt>
                <c:pt idx="11">
                  <c:v>211.21171248327951</c:v>
                </c:pt>
                <c:pt idx="12">
                  <c:v>209.83395432327947</c:v>
                </c:pt>
                <c:pt idx="13">
                  <c:v>252.57841897227948</c:v>
                </c:pt>
                <c:pt idx="14">
                  <c:v>245.17544378227947</c:v>
                </c:pt>
                <c:pt idx="15">
                  <c:v>261.79427273227947</c:v>
                </c:pt>
                <c:pt idx="16">
                  <c:v>330.93564416227946</c:v>
                </c:pt>
                <c:pt idx="17">
                  <c:v>353.28457335227944</c:v>
                </c:pt>
                <c:pt idx="18">
                  <c:v>370.93655575227945</c:v>
                </c:pt>
                <c:pt idx="19">
                  <c:v>372.18006100227944</c:v>
                </c:pt>
                <c:pt idx="20">
                  <c:v>381.97927391427947</c:v>
                </c:pt>
                <c:pt idx="21">
                  <c:v>384.09148456427948</c:v>
                </c:pt>
                <c:pt idx="22">
                  <c:v>388.65781137427962</c:v>
                </c:pt>
                <c:pt idx="23">
                  <c:v>392.51387633427936</c:v>
                </c:pt>
                <c:pt idx="24">
                  <c:v>399.30020459196925</c:v>
                </c:pt>
                <c:pt idx="25">
                  <c:v>403.57018069196914</c:v>
                </c:pt>
                <c:pt idx="26">
                  <c:v>412.55284633196896</c:v>
                </c:pt>
                <c:pt idx="27">
                  <c:v>414.01570501026896</c:v>
                </c:pt>
                <c:pt idx="28">
                  <c:v>456.73184511326895</c:v>
                </c:pt>
                <c:pt idx="29">
                  <c:v>462.91937901326924</c:v>
                </c:pt>
                <c:pt idx="30">
                  <c:v>467.57754901326928</c:v>
                </c:pt>
                <c:pt idx="31">
                  <c:v>466.21511941326906</c:v>
                </c:pt>
                <c:pt idx="32">
                  <c:v>477.11936081326905</c:v>
                </c:pt>
                <c:pt idx="33">
                  <c:v>485.94082757326908</c:v>
                </c:pt>
                <c:pt idx="34">
                  <c:v>496.34448524201918</c:v>
                </c:pt>
                <c:pt idx="35">
                  <c:v>503.04230837401917</c:v>
                </c:pt>
                <c:pt idx="36">
                  <c:v>539.16164987401919</c:v>
                </c:pt>
                <c:pt idx="37">
                  <c:v>566.36504577401934</c:v>
                </c:pt>
                <c:pt idx="38">
                  <c:v>562.2663198740189</c:v>
                </c:pt>
                <c:pt idx="39">
                  <c:v>576.19368934441877</c:v>
                </c:pt>
                <c:pt idx="40">
                  <c:v>600.82237289441878</c:v>
                </c:pt>
                <c:pt idx="41">
                  <c:v>610.46668324441873</c:v>
                </c:pt>
                <c:pt idx="42">
                  <c:v>624.54689779441878</c:v>
                </c:pt>
                <c:pt idx="43">
                  <c:v>621.9957445144189</c:v>
                </c:pt>
                <c:pt idx="44">
                  <c:v>638.72294783841892</c:v>
                </c:pt>
                <c:pt idx="45">
                  <c:v>643.31415976841902</c:v>
                </c:pt>
                <c:pt idx="46">
                  <c:v>647.82937083841909</c:v>
                </c:pt>
                <c:pt idx="47">
                  <c:v>655.30354865841912</c:v>
                </c:pt>
                <c:pt idx="48">
                  <c:v>668.05133150841914</c:v>
                </c:pt>
                <c:pt idx="49">
                  <c:v>671.84177683841915</c:v>
                </c:pt>
                <c:pt idx="50">
                  <c:v>680.94178493741913</c:v>
                </c:pt>
                <c:pt idx="51">
                  <c:v>689.82775515741912</c:v>
                </c:pt>
                <c:pt idx="52">
                  <c:v>762.40200507141913</c:v>
                </c:pt>
                <c:pt idx="53">
                  <c:v>769.42458204741911</c:v>
                </c:pt>
                <c:pt idx="54">
                  <c:v>778.23220412241915</c:v>
                </c:pt>
                <c:pt idx="55">
                  <c:v>775.75285717628174</c:v>
                </c:pt>
                <c:pt idx="56">
                  <c:v>794.88460085628174</c:v>
                </c:pt>
                <c:pt idx="57">
                  <c:v>800.55160713628186</c:v>
                </c:pt>
                <c:pt idx="58">
                  <c:v>805.81658034628174</c:v>
                </c:pt>
                <c:pt idx="59">
                  <c:v>817.45028294628173</c:v>
                </c:pt>
                <c:pt idx="60">
                  <c:v>847.89387950628145</c:v>
                </c:pt>
                <c:pt idx="61">
                  <c:v>854.38142510628143</c:v>
                </c:pt>
                <c:pt idx="62">
                  <c:v>693.33494762628141</c:v>
                </c:pt>
                <c:pt idx="63">
                  <c:v>681.26042908628142</c:v>
                </c:pt>
                <c:pt idx="64">
                  <c:v>700.24782100628147</c:v>
                </c:pt>
                <c:pt idx="65">
                  <c:v>712.04993209628151</c:v>
                </c:pt>
                <c:pt idx="66">
                  <c:v>733.26434884628156</c:v>
                </c:pt>
                <c:pt idx="67">
                  <c:v>741.35521780628153</c:v>
                </c:pt>
                <c:pt idx="68">
                  <c:v>769.64401692628155</c:v>
                </c:pt>
                <c:pt idx="69">
                  <c:v>808.47459184328136</c:v>
                </c:pt>
                <c:pt idx="70">
                  <c:v>811.22812591328136</c:v>
                </c:pt>
                <c:pt idx="71">
                  <c:v>813.64875091328122</c:v>
                </c:pt>
                <c:pt idx="72">
                  <c:v>818.27207091328125</c:v>
                </c:pt>
                <c:pt idx="73">
                  <c:v>823.72730461328126</c:v>
                </c:pt>
                <c:pt idx="74">
                  <c:v>821.64822972528145</c:v>
                </c:pt>
                <c:pt idx="75">
                  <c:v>844.9108107652811</c:v>
                </c:pt>
                <c:pt idx="76">
                  <c:v>852.81609668528108</c:v>
                </c:pt>
                <c:pt idx="77">
                  <c:v>901.68704639949476</c:v>
                </c:pt>
                <c:pt idx="78">
                  <c:v>907.27446290795262</c:v>
                </c:pt>
                <c:pt idx="79">
                  <c:v>910.11539847795268</c:v>
                </c:pt>
                <c:pt idx="80">
                  <c:v>932.24385154795277</c:v>
                </c:pt>
                <c:pt idx="81">
                  <c:v>946.24765694795269</c:v>
                </c:pt>
                <c:pt idx="82">
                  <c:v>948.91480832795253</c:v>
                </c:pt>
                <c:pt idx="83">
                  <c:v>951.12999700295245</c:v>
                </c:pt>
                <c:pt idx="84">
                  <c:v>969.28595213785241</c:v>
                </c:pt>
                <c:pt idx="85">
                  <c:v>973.95865974385242</c:v>
                </c:pt>
                <c:pt idx="86">
                  <c:v>1398.0945372353365</c:v>
                </c:pt>
                <c:pt idx="87">
                  <c:v>1837.2771504402554</c:v>
                </c:pt>
                <c:pt idx="88">
                  <c:v>1843.5831805992555</c:v>
                </c:pt>
                <c:pt idx="89">
                  <c:v>1511.4501666292554</c:v>
                </c:pt>
                <c:pt idx="90">
                  <c:v>1530.3716394852552</c:v>
                </c:pt>
                <c:pt idx="91">
                  <c:v>1535.4193488852552</c:v>
                </c:pt>
                <c:pt idx="92">
                  <c:v>1537.808865355255</c:v>
                </c:pt>
                <c:pt idx="93">
                  <c:v>1541.7288614352549</c:v>
                </c:pt>
                <c:pt idx="94">
                  <c:v>1543.4810535654533</c:v>
                </c:pt>
                <c:pt idx="95">
                  <c:v>1542.5249426154533</c:v>
                </c:pt>
                <c:pt idx="96">
                  <c:v>1580.0321359806533</c:v>
                </c:pt>
                <c:pt idx="97">
                  <c:v>1591.2164092506532</c:v>
                </c:pt>
                <c:pt idx="98">
                  <c:v>1594.1715772506532</c:v>
                </c:pt>
                <c:pt idx="99">
                  <c:v>1603.1278345406531</c:v>
                </c:pt>
                <c:pt idx="100">
                  <c:v>1625.825977640653</c:v>
                </c:pt>
                <c:pt idx="101">
                  <c:v>1631.7832874306528</c:v>
                </c:pt>
                <c:pt idx="102">
                  <c:v>1773.5015837306519</c:v>
                </c:pt>
                <c:pt idx="103">
                  <c:v>1780.2776968102899</c:v>
                </c:pt>
                <c:pt idx="104">
                  <c:v>1638.8758164202909</c:v>
                </c:pt>
                <c:pt idx="105">
                  <c:v>1692.3434217022907</c:v>
                </c:pt>
                <c:pt idx="106">
                  <c:v>1717.6508195789108</c:v>
                </c:pt>
                <c:pt idx="107">
                  <c:v>1719.030091038911</c:v>
                </c:pt>
                <c:pt idx="108">
                  <c:v>1725.8404582389112</c:v>
                </c:pt>
                <c:pt idx="109">
                  <c:v>1728.3422552289112</c:v>
                </c:pt>
                <c:pt idx="110">
                  <c:v>1733.3774568289111</c:v>
                </c:pt>
                <c:pt idx="111">
                  <c:v>1739.1622599041111</c:v>
                </c:pt>
                <c:pt idx="112">
                  <c:v>1741.337804164111</c:v>
                </c:pt>
                <c:pt idx="113">
                  <c:v>1731.5554588641112</c:v>
                </c:pt>
                <c:pt idx="114">
                  <c:v>1788.7968572424707</c:v>
                </c:pt>
                <c:pt idx="115">
                  <c:v>1893.5045319228695</c:v>
                </c:pt>
                <c:pt idx="116">
                  <c:v>1894.3048124048694</c:v>
                </c:pt>
                <c:pt idx="117">
                  <c:v>1907.7988262589895</c:v>
                </c:pt>
                <c:pt idx="118">
                  <c:v>1901.8359117189891</c:v>
                </c:pt>
                <c:pt idx="119">
                  <c:v>1535.147592929889</c:v>
                </c:pt>
                <c:pt idx="120">
                  <c:v>1519.5862270598886</c:v>
                </c:pt>
                <c:pt idx="121">
                  <c:v>1556.8726127798886</c:v>
                </c:pt>
                <c:pt idx="122">
                  <c:v>1579.6738841298886</c:v>
                </c:pt>
                <c:pt idx="123">
                  <c:v>1583.3292251298885</c:v>
                </c:pt>
                <c:pt idx="124">
                  <c:v>1595.6679385408886</c:v>
                </c:pt>
                <c:pt idx="125">
                  <c:v>1594.6250053108886</c:v>
                </c:pt>
                <c:pt idx="126">
                  <c:v>1608.4611593108884</c:v>
                </c:pt>
                <c:pt idx="127">
                  <c:v>1621.7310505308885</c:v>
                </c:pt>
                <c:pt idx="128">
                  <c:v>1636.7467597008886</c:v>
                </c:pt>
                <c:pt idx="129">
                  <c:v>1644.4489025808882</c:v>
                </c:pt>
                <c:pt idx="130">
                  <c:v>1665.1033558808881</c:v>
                </c:pt>
                <c:pt idx="131">
                  <c:v>1669.743385738888</c:v>
                </c:pt>
                <c:pt idx="132">
                  <c:v>1685.2137729788881</c:v>
                </c:pt>
                <c:pt idx="133">
                  <c:v>1752.7138270288881</c:v>
                </c:pt>
                <c:pt idx="134">
                  <c:v>1782.1784098688879</c:v>
                </c:pt>
                <c:pt idx="135">
                  <c:v>1783.7956672088878</c:v>
                </c:pt>
                <c:pt idx="136">
                  <c:v>1800.639440088888</c:v>
                </c:pt>
                <c:pt idx="137">
                  <c:v>1804.0780261588882</c:v>
                </c:pt>
                <c:pt idx="138">
                  <c:v>1810.402289278888</c:v>
                </c:pt>
                <c:pt idx="139">
                  <c:v>1808.7606555788882</c:v>
                </c:pt>
                <c:pt idx="140">
                  <c:v>1800.3420222788882</c:v>
                </c:pt>
                <c:pt idx="141">
                  <c:v>1810.7605647388882</c:v>
                </c:pt>
                <c:pt idx="142">
                  <c:v>1981.8896392188883</c:v>
                </c:pt>
                <c:pt idx="143">
                  <c:v>1950.2699018188885</c:v>
                </c:pt>
                <c:pt idx="144">
                  <c:v>1952.4802480168885</c:v>
                </c:pt>
                <c:pt idx="145">
                  <c:v>1950.0741625768885</c:v>
                </c:pt>
                <c:pt idx="146">
                  <c:v>1959.4228310068886</c:v>
                </c:pt>
                <c:pt idx="147">
                  <c:v>1967.6977850676908</c:v>
                </c:pt>
                <c:pt idx="148">
                  <c:v>1883.1719813292907</c:v>
                </c:pt>
                <c:pt idx="149">
                  <c:v>1876.9883308242809</c:v>
                </c:pt>
                <c:pt idx="150">
                  <c:v>1880.3828803692809</c:v>
                </c:pt>
                <c:pt idx="151">
                  <c:v>1886.007721127701</c:v>
                </c:pt>
                <c:pt idx="152">
                  <c:v>1851.9874105077008</c:v>
                </c:pt>
                <c:pt idx="153">
                  <c:v>1880.4456791977009</c:v>
                </c:pt>
                <c:pt idx="154">
                  <c:v>1893.2679473977012</c:v>
                </c:pt>
                <c:pt idx="155">
                  <c:v>1903.0366713977012</c:v>
                </c:pt>
                <c:pt idx="156">
                  <c:v>1800.4350431245002</c:v>
                </c:pt>
                <c:pt idx="157">
                  <c:v>1809.5504774045003</c:v>
                </c:pt>
                <c:pt idx="158">
                  <c:v>1792.1812640045002</c:v>
                </c:pt>
                <c:pt idx="159">
                  <c:v>1837.1532735715</c:v>
                </c:pt>
                <c:pt idx="160">
                  <c:v>1623.7322908035001</c:v>
                </c:pt>
                <c:pt idx="161">
                  <c:v>1636.7409606834999</c:v>
                </c:pt>
                <c:pt idx="162">
                  <c:v>1687.6279402134996</c:v>
                </c:pt>
                <c:pt idx="163">
                  <c:v>1711.3471961334997</c:v>
                </c:pt>
                <c:pt idx="164">
                  <c:v>1730.8506473035</c:v>
                </c:pt>
                <c:pt idx="165">
                  <c:v>1756.3777703034998</c:v>
                </c:pt>
                <c:pt idx="166">
                  <c:v>1820.8001281534996</c:v>
                </c:pt>
                <c:pt idx="167">
                  <c:v>1854.6099430934996</c:v>
                </c:pt>
                <c:pt idx="168">
                  <c:v>1965.2923819934986</c:v>
                </c:pt>
                <c:pt idx="169">
                  <c:v>1900.0314781734985</c:v>
                </c:pt>
                <c:pt idx="170">
                  <c:v>1711.6487312734985</c:v>
                </c:pt>
                <c:pt idx="171">
                  <c:v>1678.1236093648988</c:v>
                </c:pt>
                <c:pt idx="172">
                  <c:v>1965.8803967668978</c:v>
                </c:pt>
                <c:pt idx="173">
                  <c:v>1952.1318960768974</c:v>
                </c:pt>
                <c:pt idx="174">
                  <c:v>1946.4294622768975</c:v>
                </c:pt>
                <c:pt idx="175">
                  <c:v>1990.9197227467976</c:v>
                </c:pt>
                <c:pt idx="176">
                  <c:v>2000.2293621067977</c:v>
                </c:pt>
                <c:pt idx="177">
                  <c:v>1480.6125271467986</c:v>
                </c:pt>
                <c:pt idx="178">
                  <c:v>1321.1652179567996</c:v>
                </c:pt>
                <c:pt idx="179">
                  <c:v>1269.9867942967996</c:v>
                </c:pt>
                <c:pt idx="180">
                  <c:v>1232.9152140967997</c:v>
                </c:pt>
                <c:pt idx="181">
                  <c:v>1239.1915242877997</c:v>
                </c:pt>
                <c:pt idx="182">
                  <c:v>1029.7443672848008</c:v>
                </c:pt>
                <c:pt idx="183">
                  <c:v>631.12134369480179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D-054D-BDBC-28F572374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122688"/>
        <c:axId val="299124032"/>
      </c:lineChart>
      <c:catAx>
        <c:axId val="299122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299124032"/>
        <c:crosses val="autoZero"/>
        <c:auto val="1"/>
        <c:lblAlgn val="ctr"/>
        <c:lblOffset val="100"/>
        <c:noMultiLvlLbl val="0"/>
      </c:catAx>
      <c:valAx>
        <c:axId val="2991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29912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520700</xdr:colOff>
      <xdr:row>12</xdr:row>
      <xdr:rowOff>50800</xdr:rowOff>
    </xdr:from>
    <xdr:to>
      <xdr:col>24</xdr:col>
      <xdr:colOff>673100</xdr:colOff>
      <xdr:row>35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0946D-66CB-AB27-05E6-28931BF39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277AE-B7EC-C949-BE12-9520B7AA904E}" name="Table1" displayName="Table1" ref="A1:N185" totalsRowShown="0">
  <autoFilter ref="A1:N185" xr:uid="{07F277AE-B7EC-C949-BE12-9520B7AA904E}"/>
  <sortState xmlns:xlrd2="http://schemas.microsoft.com/office/spreadsheetml/2017/richdata2" ref="A2:N185">
    <sortCondition ref="J1:J185"/>
  </sortState>
  <tableColumns count="14">
    <tableColumn id="1" xr3:uid="{AE857753-B08A-FC45-AD80-4F598EFDB156}" name="id"/>
    <tableColumn id="2" xr3:uid="{F3C48C0E-BAB7-7548-A39E-4FE787B4D144}" name="exchange"/>
    <tableColumn id="3" xr3:uid="{5442C83B-DA4E-004A-AA32-D06EEEFB5760}" name="base"/>
    <tableColumn id="4" xr3:uid="{679F2E33-B013-1142-993A-E01119BB4A33}" name="quote"/>
    <tableColumn id="5" xr3:uid="{8C7A6D7C-3055-5441-8D68-B79684EF9778}" name="position_side"/>
    <tableColumn id="6" xr3:uid="{ED877BBA-989A-1C44-836B-CDFC5D48E7A9}" name="timeframe"/>
    <tableColumn id="7" xr3:uid="{8992910F-07E0-2045-B28E-F8ECD66E4867}" name="group_id"/>
    <tableColumn id="8" xr3:uid="{325595D8-37FA-7A40-9BF0-68CC5DD753E4}" name="status"/>
    <tableColumn id="9" xr3:uid="{79F020B1-B465-A345-866B-17B29A82CA47}" name="created_at"/>
    <tableColumn id="10" xr3:uid="{89DF7385-5F73-B949-B324-98E49F88FB10}" name="closed_at"/>
    <tableColumn id="11" xr3:uid="{8208300C-AD7F-7748-978E-16B1A7D4DED6}" name="total_pnl_usdt"/>
    <tableColumn id="14" xr3:uid="{81E838DB-88A4-0E49-AF70-3774B32E098C}" name="Cummulative Equity Curve"/>
    <tableColumn id="12" xr3:uid="{49533A38-4290-2247-8915-384CC5A25EE5}" name="total_pnl_percent"/>
    <tableColumn id="13" xr3:uid="{997BF77E-70EA-1147-9373-73575AB1F128}" name="pyramid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C278-185A-D444-8D28-E791520A6D9D}">
  <dimension ref="A1:N185"/>
  <sheetViews>
    <sheetView tabSelected="1" workbookViewId="0">
      <selection activeCell="P9" sqref="P9"/>
    </sheetView>
  </sheetViews>
  <sheetFormatPr baseColWidth="10" defaultRowHeight="16" x14ac:dyDescent="0.2"/>
  <cols>
    <col min="2" max="2" width="11.33203125" customWidth="1"/>
    <col min="5" max="5" width="14.5" customWidth="1"/>
    <col min="6" max="6" width="12.33203125" customWidth="1"/>
    <col min="9" max="9" width="12.33203125" customWidth="1"/>
    <col min="10" max="10" width="30.83203125" bestFit="1" customWidth="1"/>
    <col min="11" max="11" width="15.1640625" customWidth="1"/>
    <col min="12" max="12" width="25.6640625" bestFit="1" customWidth="1"/>
    <col min="13" max="13" width="17.83203125" customWidth="1"/>
    <col min="14" max="14" width="15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832</v>
      </c>
      <c r="M1" t="s">
        <v>11</v>
      </c>
      <c r="N1" t="s">
        <v>12</v>
      </c>
    </row>
    <row r="2" spans="1:14" x14ac:dyDescent="0.2">
      <c r="A2" t="s">
        <v>828</v>
      </c>
      <c r="B2" t="s">
        <v>14</v>
      </c>
      <c r="C2" t="s">
        <v>112</v>
      </c>
      <c r="D2" t="s">
        <v>16</v>
      </c>
      <c r="E2" t="s">
        <v>17</v>
      </c>
      <c r="F2">
        <v>45</v>
      </c>
      <c r="G2" t="s">
        <v>829</v>
      </c>
      <c r="H2" t="s">
        <v>19</v>
      </c>
      <c r="I2" t="s">
        <v>830</v>
      </c>
      <c r="J2" t="s">
        <v>831</v>
      </c>
      <c r="K2">
        <v>-0.76161024000007005</v>
      </c>
      <c r="L2">
        <f>Table1[[#This Row],[total_pnl_usdt]]</f>
        <v>-0.76161024000007005</v>
      </c>
      <c r="M2">
        <v>-7.61621420602525E-2</v>
      </c>
      <c r="N2">
        <v>1</v>
      </c>
    </row>
    <row r="3" spans="1:14" x14ac:dyDescent="0.2">
      <c r="A3" t="s">
        <v>824</v>
      </c>
      <c r="B3" t="s">
        <v>14</v>
      </c>
      <c r="C3" t="s">
        <v>112</v>
      </c>
      <c r="D3" t="s">
        <v>16</v>
      </c>
      <c r="E3" t="s">
        <v>17</v>
      </c>
      <c r="F3">
        <v>59</v>
      </c>
      <c r="G3" t="s">
        <v>825</v>
      </c>
      <c r="H3" t="s">
        <v>19</v>
      </c>
      <c r="I3" t="s">
        <v>826</v>
      </c>
      <c r="J3" t="s">
        <v>827</v>
      </c>
      <c r="K3">
        <v>12.568323680000001</v>
      </c>
      <c r="L3">
        <f>Table1[[#This Row],[total_pnl_usdt]]+L2</f>
        <v>11.80671343999993</v>
      </c>
      <c r="M3">
        <v>1.2568490589554999</v>
      </c>
      <c r="N3">
        <v>1</v>
      </c>
    </row>
    <row r="4" spans="1:14" x14ac:dyDescent="0.2">
      <c r="A4" t="s">
        <v>820</v>
      </c>
      <c r="B4" t="s">
        <v>14</v>
      </c>
      <c r="C4" t="s">
        <v>112</v>
      </c>
      <c r="D4" t="s">
        <v>16</v>
      </c>
      <c r="E4" t="s">
        <v>17</v>
      </c>
      <c r="F4">
        <v>28</v>
      </c>
      <c r="G4" t="s">
        <v>821</v>
      </c>
      <c r="H4" t="s">
        <v>19</v>
      </c>
      <c r="I4" t="s">
        <v>822</v>
      </c>
      <c r="J4" t="s">
        <v>823</v>
      </c>
      <c r="K4">
        <v>81.834479019999904</v>
      </c>
      <c r="L4">
        <f>Table1[[#This Row],[total_pnl_usdt]]+L3</f>
        <v>93.641192459999829</v>
      </c>
      <c r="M4">
        <v>2.7278075293153701</v>
      </c>
      <c r="N4">
        <v>3</v>
      </c>
    </row>
    <row r="5" spans="1:14" x14ac:dyDescent="0.2">
      <c r="A5" t="s">
        <v>816</v>
      </c>
      <c r="B5" t="s">
        <v>14</v>
      </c>
      <c r="C5" t="s">
        <v>156</v>
      </c>
      <c r="D5" t="s">
        <v>16</v>
      </c>
      <c r="E5" t="s">
        <v>17</v>
      </c>
      <c r="F5">
        <v>30</v>
      </c>
      <c r="G5" t="s">
        <v>817</v>
      </c>
      <c r="H5" t="s">
        <v>19</v>
      </c>
      <c r="I5" t="s">
        <v>818</v>
      </c>
      <c r="J5" t="s">
        <v>819</v>
      </c>
      <c r="K5">
        <v>7.1381274000000703</v>
      </c>
      <c r="L5">
        <f>Table1[[#This Row],[total_pnl_usdt]]+L4</f>
        <v>100.7793198599999</v>
      </c>
      <c r="M5">
        <v>0.237932773757972</v>
      </c>
      <c r="N5">
        <v>3</v>
      </c>
    </row>
    <row r="6" spans="1:14" x14ac:dyDescent="0.2">
      <c r="A6" t="s">
        <v>812</v>
      </c>
      <c r="B6" t="s">
        <v>14</v>
      </c>
      <c r="C6" t="s">
        <v>156</v>
      </c>
      <c r="D6" t="s">
        <v>16</v>
      </c>
      <c r="E6" t="s">
        <v>17</v>
      </c>
      <c r="F6">
        <v>25</v>
      </c>
      <c r="G6" t="s">
        <v>813</v>
      </c>
      <c r="H6" t="s">
        <v>19</v>
      </c>
      <c r="I6" t="s">
        <v>814</v>
      </c>
      <c r="J6" t="s">
        <v>815</v>
      </c>
      <c r="K6">
        <v>-7.0751728000001197</v>
      </c>
      <c r="L6">
        <f>Table1[[#This Row],[total_pnl_usdt]]+L5</f>
        <v>93.704147059999784</v>
      </c>
      <c r="M6">
        <v>-0.35377180031097799</v>
      </c>
      <c r="N6">
        <v>2</v>
      </c>
    </row>
    <row r="7" spans="1:14" x14ac:dyDescent="0.2">
      <c r="A7" t="s">
        <v>807</v>
      </c>
      <c r="B7" t="s">
        <v>14</v>
      </c>
      <c r="C7" t="s">
        <v>808</v>
      </c>
      <c r="D7" t="s">
        <v>16</v>
      </c>
      <c r="E7" t="s">
        <v>17</v>
      </c>
      <c r="F7">
        <v>30</v>
      </c>
      <c r="G7" t="s">
        <v>809</v>
      </c>
      <c r="H7" t="s">
        <v>19</v>
      </c>
      <c r="I7" t="s">
        <v>810</v>
      </c>
      <c r="J7" t="s">
        <v>811</v>
      </c>
      <c r="K7">
        <v>11.1635580362999</v>
      </c>
      <c r="L7">
        <f>Table1[[#This Row],[total_pnl_usdt]]+L6</f>
        <v>104.86770509629969</v>
      </c>
      <c r="M7">
        <v>0.55817791200174405</v>
      </c>
      <c r="N7">
        <v>2</v>
      </c>
    </row>
    <row r="8" spans="1:14" x14ac:dyDescent="0.2">
      <c r="A8" t="s">
        <v>803</v>
      </c>
      <c r="B8" t="s">
        <v>14</v>
      </c>
      <c r="C8" t="s">
        <v>410</v>
      </c>
      <c r="D8" t="s">
        <v>16</v>
      </c>
      <c r="E8" t="s">
        <v>17</v>
      </c>
      <c r="F8">
        <v>45</v>
      </c>
      <c r="G8" t="s">
        <v>804</v>
      </c>
      <c r="H8" t="s">
        <v>19</v>
      </c>
      <c r="I8" t="s">
        <v>805</v>
      </c>
      <c r="J8" t="s">
        <v>806</v>
      </c>
      <c r="K8">
        <v>6.0754635000000299</v>
      </c>
      <c r="L8">
        <f>Table1[[#This Row],[total_pnl_usdt]]+L7</f>
        <v>110.94316859629971</v>
      </c>
      <c r="M8">
        <v>0.60756062767475305</v>
      </c>
      <c r="N8">
        <v>1</v>
      </c>
    </row>
    <row r="9" spans="1:14" x14ac:dyDescent="0.2">
      <c r="A9" t="s">
        <v>798</v>
      </c>
      <c r="B9" t="s">
        <v>14</v>
      </c>
      <c r="C9" t="s">
        <v>799</v>
      </c>
      <c r="D9" t="s">
        <v>16</v>
      </c>
      <c r="E9" t="s">
        <v>17</v>
      </c>
      <c r="F9">
        <v>59</v>
      </c>
      <c r="G9" t="s">
        <v>800</v>
      </c>
      <c r="H9" t="s">
        <v>19</v>
      </c>
      <c r="I9" t="s">
        <v>801</v>
      </c>
      <c r="J9" t="s">
        <v>802</v>
      </c>
      <c r="K9">
        <v>89.946848939999995</v>
      </c>
      <c r="L9">
        <f>Table1[[#This Row],[total_pnl_usdt]]+L8</f>
        <v>200.89001753629969</v>
      </c>
      <c r="M9">
        <v>4.4972860960052099</v>
      </c>
      <c r="N9">
        <v>2</v>
      </c>
    </row>
    <row r="10" spans="1:14" x14ac:dyDescent="0.2">
      <c r="A10" t="s">
        <v>793</v>
      </c>
      <c r="B10" t="s">
        <v>14</v>
      </c>
      <c r="C10" t="s">
        <v>794</v>
      </c>
      <c r="D10" t="s">
        <v>16</v>
      </c>
      <c r="E10" t="s">
        <v>17</v>
      </c>
      <c r="F10">
        <v>43</v>
      </c>
      <c r="G10" t="s">
        <v>795</v>
      </c>
      <c r="H10" t="s">
        <v>19</v>
      </c>
      <c r="I10" t="s">
        <v>796</v>
      </c>
      <c r="J10" t="s">
        <v>797</v>
      </c>
      <c r="K10">
        <v>-8.9157181100001104</v>
      </c>
      <c r="L10">
        <f>Table1[[#This Row],[total_pnl_usdt]]+L9</f>
        <v>191.97429942629958</v>
      </c>
      <c r="M10">
        <v>-0.89156702328509596</v>
      </c>
      <c r="N10">
        <v>1</v>
      </c>
    </row>
    <row r="11" spans="1:14" x14ac:dyDescent="0.2">
      <c r="A11" t="s">
        <v>789</v>
      </c>
      <c r="B11" t="s">
        <v>14</v>
      </c>
      <c r="C11" t="s">
        <v>83</v>
      </c>
      <c r="D11" t="s">
        <v>16</v>
      </c>
      <c r="E11" t="s">
        <v>17</v>
      </c>
      <c r="F11">
        <v>52</v>
      </c>
      <c r="G11" t="s">
        <v>790</v>
      </c>
      <c r="H11" t="s">
        <v>19</v>
      </c>
      <c r="I11" t="s">
        <v>791</v>
      </c>
      <c r="J11" t="s">
        <v>792</v>
      </c>
      <c r="K11">
        <v>10.5876924</v>
      </c>
      <c r="L11">
        <f>Table1[[#This Row],[total_pnl_usdt]]+L10</f>
        <v>202.56199182629959</v>
      </c>
      <c r="M11">
        <v>0.52931782009110595</v>
      </c>
      <c r="N11">
        <v>2</v>
      </c>
    </row>
    <row r="12" spans="1:14" x14ac:dyDescent="0.2">
      <c r="A12" t="s">
        <v>784</v>
      </c>
      <c r="B12" t="s">
        <v>151</v>
      </c>
      <c r="C12" t="s">
        <v>785</v>
      </c>
      <c r="D12" t="s">
        <v>16</v>
      </c>
      <c r="E12" t="s">
        <v>17</v>
      </c>
      <c r="F12">
        <v>50</v>
      </c>
      <c r="G12" t="s">
        <v>786</v>
      </c>
      <c r="H12" t="s">
        <v>19</v>
      </c>
      <c r="I12" t="s">
        <v>787</v>
      </c>
      <c r="J12" t="s">
        <v>788</v>
      </c>
      <c r="K12">
        <v>7.2873115169799796</v>
      </c>
      <c r="L12">
        <f>Table1[[#This Row],[total_pnl_usdt]]+L11</f>
        <v>209.84930334327956</v>
      </c>
      <c r="M12">
        <v>0.72873115577889203</v>
      </c>
      <c r="N12">
        <v>1</v>
      </c>
    </row>
    <row r="13" spans="1:14" x14ac:dyDescent="0.2">
      <c r="A13" t="s">
        <v>780</v>
      </c>
      <c r="B13" t="s">
        <v>281</v>
      </c>
      <c r="C13" t="s">
        <v>112</v>
      </c>
      <c r="D13" t="s">
        <v>16</v>
      </c>
      <c r="E13" t="s">
        <v>17</v>
      </c>
      <c r="F13">
        <v>39</v>
      </c>
      <c r="G13" t="s">
        <v>781</v>
      </c>
      <c r="H13" t="s">
        <v>19</v>
      </c>
      <c r="I13" t="s">
        <v>782</v>
      </c>
      <c r="J13" t="s">
        <v>783</v>
      </c>
      <c r="K13">
        <v>1.3624091399999501</v>
      </c>
      <c r="L13">
        <f>Table1[[#This Row],[total_pnl_usdt]]+L12</f>
        <v>211.21171248327951</v>
      </c>
      <c r="M13">
        <v>0.136237845923704</v>
      </c>
      <c r="N13">
        <v>1</v>
      </c>
    </row>
    <row r="14" spans="1:14" x14ac:dyDescent="0.2">
      <c r="A14" t="s">
        <v>776</v>
      </c>
      <c r="B14" t="s">
        <v>14</v>
      </c>
      <c r="C14" t="s">
        <v>112</v>
      </c>
      <c r="D14" t="s">
        <v>16</v>
      </c>
      <c r="E14" t="s">
        <v>17</v>
      </c>
      <c r="F14">
        <v>45</v>
      </c>
      <c r="G14" t="s">
        <v>777</v>
      </c>
      <c r="H14" t="s">
        <v>19</v>
      </c>
      <c r="I14" t="s">
        <v>778</v>
      </c>
      <c r="J14" t="s">
        <v>779</v>
      </c>
      <c r="K14">
        <v>-1.3777581600000299</v>
      </c>
      <c r="L14">
        <f>Table1[[#This Row],[total_pnl_usdt]]+L13</f>
        <v>209.83395432327947</v>
      </c>
      <c r="M14">
        <v>-0.13778026905829899</v>
      </c>
      <c r="N14">
        <v>1</v>
      </c>
    </row>
    <row r="15" spans="1:14" x14ac:dyDescent="0.2">
      <c r="A15" t="s">
        <v>772</v>
      </c>
      <c r="B15" t="s">
        <v>14</v>
      </c>
      <c r="C15" t="s">
        <v>73</v>
      </c>
      <c r="D15" t="s">
        <v>16</v>
      </c>
      <c r="E15" t="s">
        <v>17</v>
      </c>
      <c r="F15">
        <v>54</v>
      </c>
      <c r="G15" t="s">
        <v>773</v>
      </c>
      <c r="H15" t="s">
        <v>19</v>
      </c>
      <c r="I15" t="s">
        <v>774</v>
      </c>
      <c r="J15" t="s">
        <v>775</v>
      </c>
      <c r="K15">
        <v>42.744464649000001</v>
      </c>
      <c r="L15">
        <f>Table1[[#This Row],[total_pnl_usdt]]+L14</f>
        <v>252.57841897227948</v>
      </c>
      <c r="M15">
        <v>1.42481570344717</v>
      </c>
      <c r="N15">
        <v>3</v>
      </c>
    </row>
    <row r="16" spans="1:14" x14ac:dyDescent="0.2">
      <c r="A16" t="s">
        <v>768</v>
      </c>
      <c r="B16" t="s">
        <v>14</v>
      </c>
      <c r="C16" t="s">
        <v>146</v>
      </c>
      <c r="D16" t="s">
        <v>16</v>
      </c>
      <c r="E16" t="s">
        <v>17</v>
      </c>
      <c r="F16">
        <v>59</v>
      </c>
      <c r="G16" t="s">
        <v>769</v>
      </c>
      <c r="H16" t="s">
        <v>19</v>
      </c>
      <c r="I16" t="s">
        <v>770</v>
      </c>
      <c r="J16" t="s">
        <v>771</v>
      </c>
      <c r="K16">
        <v>-7.4029751900000003</v>
      </c>
      <c r="L16">
        <f>Table1[[#This Row],[total_pnl_usdt]]+L15</f>
        <v>245.17544378227947</v>
      </c>
      <c r="M16">
        <v>-0.37014953866477901</v>
      </c>
      <c r="N16">
        <v>2</v>
      </c>
    </row>
    <row r="17" spans="1:14" x14ac:dyDescent="0.2">
      <c r="A17" t="s">
        <v>764</v>
      </c>
      <c r="B17" t="s">
        <v>14</v>
      </c>
      <c r="C17" t="s">
        <v>112</v>
      </c>
      <c r="D17" t="s">
        <v>16</v>
      </c>
      <c r="E17" t="s">
        <v>17</v>
      </c>
      <c r="F17">
        <v>59</v>
      </c>
      <c r="G17" t="s">
        <v>765</v>
      </c>
      <c r="H17" t="s">
        <v>19</v>
      </c>
      <c r="I17" t="s">
        <v>766</v>
      </c>
      <c r="J17" t="s">
        <v>767</v>
      </c>
      <c r="K17">
        <v>16.618828950000001</v>
      </c>
      <c r="L17">
        <f>Table1[[#This Row],[total_pnl_usdt]]+L16</f>
        <v>261.79427273227947</v>
      </c>
      <c r="M17">
        <v>0.83094942045969</v>
      </c>
      <c r="N17">
        <v>2</v>
      </c>
    </row>
    <row r="18" spans="1:14" x14ac:dyDescent="0.2">
      <c r="A18" t="s">
        <v>760</v>
      </c>
      <c r="B18" t="s">
        <v>14</v>
      </c>
      <c r="C18" t="s">
        <v>112</v>
      </c>
      <c r="D18" t="s">
        <v>16</v>
      </c>
      <c r="E18" t="s">
        <v>17</v>
      </c>
      <c r="F18">
        <v>28</v>
      </c>
      <c r="G18" t="s">
        <v>761</v>
      </c>
      <c r="H18" t="s">
        <v>19</v>
      </c>
      <c r="I18" t="s">
        <v>762</v>
      </c>
      <c r="J18" t="s">
        <v>763</v>
      </c>
      <c r="K18">
        <v>69.141371430000007</v>
      </c>
      <c r="L18">
        <f>Table1[[#This Row],[total_pnl_usdt]]+L17</f>
        <v>330.93564416227946</v>
      </c>
      <c r="M18">
        <v>1.7285299730677099</v>
      </c>
      <c r="N18">
        <v>4</v>
      </c>
    </row>
    <row r="19" spans="1:14" x14ac:dyDescent="0.2">
      <c r="A19" t="s">
        <v>756</v>
      </c>
      <c r="B19" t="s">
        <v>14</v>
      </c>
      <c r="C19" t="s">
        <v>112</v>
      </c>
      <c r="D19" t="s">
        <v>16</v>
      </c>
      <c r="E19" t="s">
        <v>17</v>
      </c>
      <c r="F19">
        <v>39</v>
      </c>
      <c r="G19" t="s">
        <v>757</v>
      </c>
      <c r="H19" t="s">
        <v>19</v>
      </c>
      <c r="I19" t="s">
        <v>758</v>
      </c>
      <c r="J19" t="s">
        <v>759</v>
      </c>
      <c r="K19">
        <v>22.34892919</v>
      </c>
      <c r="L19">
        <f>Table1[[#This Row],[total_pnl_usdt]]+L18</f>
        <v>353.28457335227944</v>
      </c>
      <c r="M19">
        <v>1.1174505046708201</v>
      </c>
      <c r="N19">
        <v>2</v>
      </c>
    </row>
    <row r="20" spans="1:14" x14ac:dyDescent="0.2">
      <c r="A20" t="s">
        <v>751</v>
      </c>
      <c r="B20" t="s">
        <v>14</v>
      </c>
      <c r="C20" t="s">
        <v>752</v>
      </c>
      <c r="D20" t="s">
        <v>16</v>
      </c>
      <c r="E20" t="s">
        <v>17</v>
      </c>
      <c r="F20">
        <v>52</v>
      </c>
      <c r="G20" t="s">
        <v>753</v>
      </c>
      <c r="H20" t="s">
        <v>19</v>
      </c>
      <c r="I20" t="s">
        <v>754</v>
      </c>
      <c r="J20" t="s">
        <v>755</v>
      </c>
      <c r="K20">
        <v>17.651982400000001</v>
      </c>
      <c r="L20">
        <f>Table1[[#This Row],[total_pnl_usdt]]+L19</f>
        <v>370.93655575227945</v>
      </c>
      <c r="M20">
        <v>1.76524590163934</v>
      </c>
      <c r="N20">
        <v>1</v>
      </c>
    </row>
    <row r="21" spans="1:14" x14ac:dyDescent="0.2">
      <c r="A21" t="s">
        <v>746</v>
      </c>
      <c r="B21" t="s">
        <v>14</v>
      </c>
      <c r="C21" t="s">
        <v>747</v>
      </c>
      <c r="D21" t="s">
        <v>16</v>
      </c>
      <c r="E21" t="s">
        <v>17</v>
      </c>
      <c r="F21">
        <v>60</v>
      </c>
      <c r="G21" t="s">
        <v>748</v>
      </c>
      <c r="H21" t="s">
        <v>19</v>
      </c>
      <c r="I21" t="s">
        <v>749</v>
      </c>
      <c r="J21" t="s">
        <v>750</v>
      </c>
      <c r="K21">
        <v>1.2435052499999799</v>
      </c>
      <c r="L21">
        <f>Table1[[#This Row],[total_pnl_usdt]]+L20</f>
        <v>372.18006100227944</v>
      </c>
      <c r="M21">
        <v>0.12435064935064701</v>
      </c>
      <c r="N21">
        <v>1</v>
      </c>
    </row>
    <row r="22" spans="1:14" x14ac:dyDescent="0.2">
      <c r="A22" t="s">
        <v>742</v>
      </c>
      <c r="B22" t="s">
        <v>14</v>
      </c>
      <c r="C22" t="s">
        <v>264</v>
      </c>
      <c r="D22" t="s">
        <v>16</v>
      </c>
      <c r="E22" t="s">
        <v>17</v>
      </c>
      <c r="F22">
        <v>50</v>
      </c>
      <c r="G22" t="s">
        <v>743</v>
      </c>
      <c r="H22" t="s">
        <v>19</v>
      </c>
      <c r="I22" t="s">
        <v>744</v>
      </c>
      <c r="J22" t="s">
        <v>745</v>
      </c>
      <c r="K22">
        <v>9.7992129120000104</v>
      </c>
      <c r="L22">
        <f>Table1[[#This Row],[total_pnl_usdt]]+L21</f>
        <v>381.97927391427947</v>
      </c>
      <c r="M22">
        <v>0.97992125984251999</v>
      </c>
      <c r="N22">
        <v>1</v>
      </c>
    </row>
    <row r="23" spans="1:14" x14ac:dyDescent="0.2">
      <c r="A23" t="s">
        <v>738</v>
      </c>
      <c r="B23" t="s">
        <v>14</v>
      </c>
      <c r="C23" t="s">
        <v>307</v>
      </c>
      <c r="D23" t="s">
        <v>16</v>
      </c>
      <c r="E23" t="s">
        <v>17</v>
      </c>
      <c r="F23">
        <v>37</v>
      </c>
      <c r="G23" t="s">
        <v>739</v>
      </c>
      <c r="H23" t="s">
        <v>19</v>
      </c>
      <c r="I23" t="s">
        <v>740</v>
      </c>
      <c r="J23" t="s">
        <v>741</v>
      </c>
      <c r="K23">
        <v>2.1122106500000002</v>
      </c>
      <c r="L23">
        <f>Table1[[#This Row],[total_pnl_usdt]]+L22</f>
        <v>384.09148456427948</v>
      </c>
      <c r="M23">
        <v>5.2805285919969101E-2</v>
      </c>
      <c r="N23">
        <v>4</v>
      </c>
    </row>
    <row r="24" spans="1:14" x14ac:dyDescent="0.2">
      <c r="A24" t="s">
        <v>734</v>
      </c>
      <c r="B24" t="s">
        <v>14</v>
      </c>
      <c r="C24" t="s">
        <v>237</v>
      </c>
      <c r="D24" t="s">
        <v>16</v>
      </c>
      <c r="E24" t="s">
        <v>17</v>
      </c>
      <c r="F24">
        <v>28</v>
      </c>
      <c r="G24" t="s">
        <v>735</v>
      </c>
      <c r="H24" t="s">
        <v>19</v>
      </c>
      <c r="I24" t="s">
        <v>736</v>
      </c>
      <c r="J24" t="s">
        <v>737</v>
      </c>
      <c r="K24">
        <v>4.5663268100001302</v>
      </c>
      <c r="L24">
        <f>Table1[[#This Row],[total_pnl_usdt]]+L23</f>
        <v>388.65781137427962</v>
      </c>
      <c r="M24">
        <v>0.22831700832725599</v>
      </c>
      <c r="N24">
        <v>2</v>
      </c>
    </row>
    <row r="25" spans="1:14" x14ac:dyDescent="0.2">
      <c r="A25" t="s">
        <v>730</v>
      </c>
      <c r="B25" t="s">
        <v>14</v>
      </c>
      <c r="C25" t="s">
        <v>255</v>
      </c>
      <c r="D25" t="s">
        <v>16</v>
      </c>
      <c r="E25" t="s">
        <v>17</v>
      </c>
      <c r="F25">
        <v>33</v>
      </c>
      <c r="G25" t="s">
        <v>731</v>
      </c>
      <c r="H25" t="s">
        <v>19</v>
      </c>
      <c r="I25" t="s">
        <v>732</v>
      </c>
      <c r="J25" t="s">
        <v>733</v>
      </c>
      <c r="K25">
        <v>3.8560649599997698</v>
      </c>
      <c r="L25">
        <f>Table1[[#This Row],[total_pnl_usdt]]+L24</f>
        <v>392.51387633427936</v>
      </c>
      <c r="M25">
        <v>0.128535731744786</v>
      </c>
      <c r="N25">
        <v>3</v>
      </c>
    </row>
    <row r="26" spans="1:14" x14ac:dyDescent="0.2">
      <c r="A26" t="s">
        <v>726</v>
      </c>
      <c r="B26" t="s">
        <v>23</v>
      </c>
      <c r="C26" t="s">
        <v>264</v>
      </c>
      <c r="D26" t="s">
        <v>16</v>
      </c>
      <c r="E26" t="s">
        <v>17</v>
      </c>
      <c r="F26">
        <v>44</v>
      </c>
      <c r="G26" t="s">
        <v>727</v>
      </c>
      <c r="H26" t="s">
        <v>19</v>
      </c>
      <c r="I26" t="s">
        <v>728</v>
      </c>
      <c r="J26" t="s">
        <v>729</v>
      </c>
      <c r="K26">
        <v>6.7863282576898998</v>
      </c>
      <c r="L26">
        <f>Table1[[#This Row],[total_pnl_usdt]]+L25</f>
        <v>399.30020459196925</v>
      </c>
      <c r="M26">
        <v>0.22621094249078599</v>
      </c>
      <c r="N26">
        <v>3</v>
      </c>
    </row>
    <row r="27" spans="1:14" x14ac:dyDescent="0.2">
      <c r="A27" t="s">
        <v>721</v>
      </c>
      <c r="B27" t="s">
        <v>14</v>
      </c>
      <c r="C27" t="s">
        <v>722</v>
      </c>
      <c r="D27" t="s">
        <v>16</v>
      </c>
      <c r="E27" t="s">
        <v>17</v>
      </c>
      <c r="F27">
        <v>59</v>
      </c>
      <c r="G27" t="s">
        <v>723</v>
      </c>
      <c r="H27" t="s">
        <v>19</v>
      </c>
      <c r="I27" t="s">
        <v>724</v>
      </c>
      <c r="J27" t="s">
        <v>725</v>
      </c>
      <c r="K27">
        <v>4.2699760999998899</v>
      </c>
      <c r="L27">
        <f>Table1[[#This Row],[total_pnl_usdt]]+L26</f>
        <v>403.57018069196914</v>
      </c>
      <c r="M27">
        <v>0.42698744769873298</v>
      </c>
      <c r="N27">
        <v>1</v>
      </c>
    </row>
    <row r="28" spans="1:14" x14ac:dyDescent="0.2">
      <c r="A28" t="s">
        <v>717</v>
      </c>
      <c r="B28" t="s">
        <v>14</v>
      </c>
      <c r="C28" t="s">
        <v>255</v>
      </c>
      <c r="D28" t="s">
        <v>16</v>
      </c>
      <c r="E28" t="s">
        <v>17</v>
      </c>
      <c r="F28">
        <v>40</v>
      </c>
      <c r="G28" t="s">
        <v>718</v>
      </c>
      <c r="H28" t="s">
        <v>19</v>
      </c>
      <c r="I28" t="s">
        <v>719</v>
      </c>
      <c r="J28" t="s">
        <v>720</v>
      </c>
      <c r="K28">
        <v>8.9826656399998299</v>
      </c>
      <c r="L28">
        <f>Table1[[#This Row],[total_pnl_usdt]]+L27</f>
        <v>412.55284633196896</v>
      </c>
      <c r="M28">
        <v>0.44913567140176303</v>
      </c>
      <c r="N28">
        <v>2</v>
      </c>
    </row>
    <row r="29" spans="1:14" x14ac:dyDescent="0.2">
      <c r="A29" t="s">
        <v>713</v>
      </c>
      <c r="B29" t="s">
        <v>151</v>
      </c>
      <c r="C29" t="s">
        <v>188</v>
      </c>
      <c r="D29" t="s">
        <v>16</v>
      </c>
      <c r="E29" t="s">
        <v>17</v>
      </c>
      <c r="F29">
        <v>43</v>
      </c>
      <c r="G29" t="s">
        <v>714</v>
      </c>
      <c r="H29" t="s">
        <v>19</v>
      </c>
      <c r="I29" t="s">
        <v>715</v>
      </c>
      <c r="J29" t="s">
        <v>716</v>
      </c>
      <c r="K29">
        <v>1.4628586782999899</v>
      </c>
      <c r="L29">
        <f>Table1[[#This Row],[total_pnl_usdt]]+L28</f>
        <v>414.01570501026896</v>
      </c>
      <c r="M29">
        <v>7.3142874471785399E-2</v>
      </c>
      <c r="N29">
        <v>2</v>
      </c>
    </row>
    <row r="30" spans="1:14" x14ac:dyDescent="0.2">
      <c r="A30" t="s">
        <v>709</v>
      </c>
      <c r="B30" t="s">
        <v>23</v>
      </c>
      <c r="C30" t="s">
        <v>58</v>
      </c>
      <c r="D30" t="s">
        <v>16</v>
      </c>
      <c r="E30" t="s">
        <v>17</v>
      </c>
      <c r="F30">
        <v>61</v>
      </c>
      <c r="G30" t="s">
        <v>710</v>
      </c>
      <c r="H30" t="s">
        <v>19</v>
      </c>
      <c r="I30" t="s">
        <v>711</v>
      </c>
      <c r="J30" t="s">
        <v>712</v>
      </c>
      <c r="K30">
        <v>42.716140103000001</v>
      </c>
      <c r="L30">
        <f>Table1[[#This Row],[total_pnl_usdt]]+L29</f>
        <v>456.73184511326895</v>
      </c>
      <c r="M30">
        <v>2.13580700835371</v>
      </c>
      <c r="N30">
        <v>2</v>
      </c>
    </row>
    <row r="31" spans="1:14" x14ac:dyDescent="0.2">
      <c r="A31" t="s">
        <v>705</v>
      </c>
      <c r="B31" t="s">
        <v>14</v>
      </c>
      <c r="C31" t="s">
        <v>442</v>
      </c>
      <c r="D31" t="s">
        <v>16</v>
      </c>
      <c r="E31" t="s">
        <v>17</v>
      </c>
      <c r="F31">
        <v>61</v>
      </c>
      <c r="G31" t="s">
        <v>706</v>
      </c>
      <c r="H31" t="s">
        <v>19</v>
      </c>
      <c r="I31" t="s">
        <v>707</v>
      </c>
      <c r="J31" t="s">
        <v>708</v>
      </c>
      <c r="K31">
        <v>6.1875339000002896</v>
      </c>
      <c r="L31">
        <f>Table1[[#This Row],[total_pnl_usdt]]+L30</f>
        <v>462.91937901326924</v>
      </c>
      <c r="M31">
        <v>0.123748670796565</v>
      </c>
      <c r="N31">
        <v>5</v>
      </c>
    </row>
    <row r="32" spans="1:14" x14ac:dyDescent="0.2">
      <c r="A32" t="s">
        <v>701</v>
      </c>
      <c r="B32" t="s">
        <v>14</v>
      </c>
      <c r="C32" t="s">
        <v>156</v>
      </c>
      <c r="D32" t="s">
        <v>16</v>
      </c>
      <c r="E32" t="s">
        <v>17</v>
      </c>
      <c r="F32">
        <v>25</v>
      </c>
      <c r="G32" t="s">
        <v>702</v>
      </c>
      <c r="H32" t="s">
        <v>19</v>
      </c>
      <c r="I32" t="s">
        <v>703</v>
      </c>
      <c r="J32" t="s">
        <v>704</v>
      </c>
      <c r="K32">
        <v>4.6581700000000597</v>
      </c>
      <c r="L32">
        <f>Table1[[#This Row],[total_pnl_usdt]]+L31</f>
        <v>467.57754901326928</v>
      </c>
      <c r="M32">
        <v>0.23291064277791701</v>
      </c>
      <c r="N32">
        <v>2</v>
      </c>
    </row>
    <row r="33" spans="1:14" x14ac:dyDescent="0.2">
      <c r="A33" t="s">
        <v>697</v>
      </c>
      <c r="B33" t="s">
        <v>14</v>
      </c>
      <c r="C33" t="s">
        <v>156</v>
      </c>
      <c r="D33" t="s">
        <v>16</v>
      </c>
      <c r="E33" t="s">
        <v>17</v>
      </c>
      <c r="F33">
        <v>19</v>
      </c>
      <c r="G33" t="s">
        <v>698</v>
      </c>
      <c r="H33" t="s">
        <v>19</v>
      </c>
      <c r="I33" t="s">
        <v>699</v>
      </c>
      <c r="J33" t="s">
        <v>700</v>
      </c>
      <c r="K33">
        <v>-1.36242960000024</v>
      </c>
      <c r="L33">
        <f>Table1[[#This Row],[total_pnl_usdt]]+L32</f>
        <v>466.21511941326906</v>
      </c>
      <c r="M33">
        <v>-4.5412903117431E-2</v>
      </c>
      <c r="N33">
        <v>3</v>
      </c>
    </row>
    <row r="34" spans="1:14" x14ac:dyDescent="0.2">
      <c r="A34" t="s">
        <v>693</v>
      </c>
      <c r="B34" t="s">
        <v>14</v>
      </c>
      <c r="C34" t="s">
        <v>156</v>
      </c>
      <c r="D34" t="s">
        <v>16</v>
      </c>
      <c r="E34" t="s">
        <v>17</v>
      </c>
      <c r="F34">
        <v>30</v>
      </c>
      <c r="G34" t="s">
        <v>694</v>
      </c>
      <c r="H34" t="s">
        <v>19</v>
      </c>
      <c r="I34" t="s">
        <v>695</v>
      </c>
      <c r="J34" t="s">
        <v>696</v>
      </c>
      <c r="K34">
        <v>10.9042414</v>
      </c>
      <c r="L34">
        <f>Table1[[#This Row],[total_pnl_usdt]]+L33</f>
        <v>477.11936081326905</v>
      </c>
      <c r="M34">
        <v>0.27261163716914499</v>
      </c>
      <c r="N34">
        <v>4</v>
      </c>
    </row>
    <row r="35" spans="1:14" x14ac:dyDescent="0.2">
      <c r="A35" t="s">
        <v>689</v>
      </c>
      <c r="B35" t="s">
        <v>14</v>
      </c>
      <c r="C35" t="s">
        <v>15</v>
      </c>
      <c r="D35" t="s">
        <v>16</v>
      </c>
      <c r="E35" t="s">
        <v>17</v>
      </c>
      <c r="F35">
        <v>31</v>
      </c>
      <c r="G35" t="s">
        <v>690</v>
      </c>
      <c r="H35" t="s">
        <v>19</v>
      </c>
      <c r="I35" t="s">
        <v>691</v>
      </c>
      <c r="J35" t="s">
        <v>692</v>
      </c>
      <c r="K35">
        <v>8.8214667600000194</v>
      </c>
      <c r="L35">
        <f>Table1[[#This Row],[total_pnl_usdt]]+L34</f>
        <v>485.94082757326908</v>
      </c>
      <c r="M35">
        <v>0.882155074116307</v>
      </c>
      <c r="N35">
        <v>1</v>
      </c>
    </row>
    <row r="36" spans="1:14" x14ac:dyDescent="0.2">
      <c r="A36" t="s">
        <v>685</v>
      </c>
      <c r="B36" t="s">
        <v>151</v>
      </c>
      <c r="C36" t="s">
        <v>188</v>
      </c>
      <c r="D36" t="s">
        <v>16</v>
      </c>
      <c r="E36" t="s">
        <v>17</v>
      </c>
      <c r="F36">
        <v>43</v>
      </c>
      <c r="G36" t="s">
        <v>686</v>
      </c>
      <c r="H36" t="s">
        <v>19</v>
      </c>
      <c r="I36" t="s">
        <v>687</v>
      </c>
      <c r="J36" t="s">
        <v>688</v>
      </c>
      <c r="K36">
        <v>10.4036576687501</v>
      </c>
      <c r="L36">
        <f>Table1[[#This Row],[total_pnl_usdt]]+L35</f>
        <v>496.34448524201918</v>
      </c>
      <c r="M36">
        <v>1.0403666506664799</v>
      </c>
      <c r="N36">
        <v>1</v>
      </c>
    </row>
    <row r="37" spans="1:14" x14ac:dyDescent="0.2">
      <c r="A37" t="s">
        <v>681</v>
      </c>
      <c r="B37" t="s">
        <v>14</v>
      </c>
      <c r="C37" t="s">
        <v>179</v>
      </c>
      <c r="D37" t="s">
        <v>16</v>
      </c>
      <c r="E37" t="s">
        <v>17</v>
      </c>
      <c r="F37">
        <v>28</v>
      </c>
      <c r="G37" t="s">
        <v>682</v>
      </c>
      <c r="H37" t="s">
        <v>19</v>
      </c>
      <c r="I37" t="s">
        <v>683</v>
      </c>
      <c r="J37" t="s">
        <v>684</v>
      </c>
      <c r="K37">
        <v>6.6978231319999901</v>
      </c>
      <c r="L37">
        <f>Table1[[#This Row],[total_pnl_usdt]]+L36</f>
        <v>503.04230837401917</v>
      </c>
      <c r="M37">
        <v>0.66978688382569396</v>
      </c>
      <c r="N37">
        <v>1</v>
      </c>
    </row>
    <row r="38" spans="1:14" x14ac:dyDescent="0.2">
      <c r="A38" t="s">
        <v>677</v>
      </c>
      <c r="B38" t="s">
        <v>14</v>
      </c>
      <c r="C38" t="s">
        <v>410</v>
      </c>
      <c r="D38" t="s">
        <v>16</v>
      </c>
      <c r="E38" t="s">
        <v>17</v>
      </c>
      <c r="F38">
        <v>45</v>
      </c>
      <c r="G38" t="s">
        <v>678</v>
      </c>
      <c r="H38" t="s">
        <v>19</v>
      </c>
      <c r="I38" t="s">
        <v>679</v>
      </c>
      <c r="J38" t="s">
        <v>680</v>
      </c>
      <c r="K38">
        <v>36.119341499999997</v>
      </c>
      <c r="L38">
        <f>Table1[[#This Row],[total_pnl_usdt]]+L37</f>
        <v>539.16164987401919</v>
      </c>
      <c r="M38">
        <v>1.80596752649188</v>
      </c>
      <c r="N38">
        <v>2</v>
      </c>
    </row>
    <row r="39" spans="1:14" x14ac:dyDescent="0.2">
      <c r="A39" t="s">
        <v>673</v>
      </c>
      <c r="B39" t="s">
        <v>14</v>
      </c>
      <c r="C39" t="s">
        <v>393</v>
      </c>
      <c r="D39" t="s">
        <v>16</v>
      </c>
      <c r="E39" t="s">
        <v>17</v>
      </c>
      <c r="F39">
        <v>47</v>
      </c>
      <c r="G39" t="s">
        <v>674</v>
      </c>
      <c r="H39" t="s">
        <v>19</v>
      </c>
      <c r="I39" t="s">
        <v>675</v>
      </c>
      <c r="J39" t="s">
        <v>676</v>
      </c>
      <c r="K39">
        <v>27.2033959000001</v>
      </c>
      <c r="L39">
        <f>Table1[[#This Row],[total_pnl_usdt]]+L38</f>
        <v>566.36504577401934</v>
      </c>
      <c r="M39">
        <v>1.3600782617329901</v>
      </c>
      <c r="N39">
        <v>2</v>
      </c>
    </row>
    <row r="40" spans="1:14" x14ac:dyDescent="0.2">
      <c r="A40" t="s">
        <v>669</v>
      </c>
      <c r="B40" t="s">
        <v>14</v>
      </c>
      <c r="C40" t="s">
        <v>93</v>
      </c>
      <c r="D40" t="s">
        <v>16</v>
      </c>
      <c r="E40" t="s">
        <v>17</v>
      </c>
      <c r="F40">
        <v>30</v>
      </c>
      <c r="G40" t="s">
        <v>670</v>
      </c>
      <c r="H40" t="s">
        <v>19</v>
      </c>
      <c r="I40" t="s">
        <v>671</v>
      </c>
      <c r="J40" t="s">
        <v>672</v>
      </c>
      <c r="K40">
        <v>-4.0987259000004004</v>
      </c>
      <c r="L40">
        <f>Table1[[#This Row],[total_pnl_usdt]]+L39</f>
        <v>562.2663198740189</v>
      </c>
      <c r="M40">
        <v>-8.1975183638499205E-2</v>
      </c>
      <c r="N40">
        <v>5</v>
      </c>
    </row>
    <row r="41" spans="1:14" x14ac:dyDescent="0.2">
      <c r="A41" t="s">
        <v>665</v>
      </c>
      <c r="B41" t="s">
        <v>23</v>
      </c>
      <c r="C41" t="s">
        <v>58</v>
      </c>
      <c r="D41" t="s">
        <v>16</v>
      </c>
      <c r="E41" t="s">
        <v>17</v>
      </c>
      <c r="F41">
        <v>61</v>
      </c>
      <c r="G41" t="s">
        <v>666</v>
      </c>
      <c r="H41" t="s">
        <v>19</v>
      </c>
      <c r="I41" t="s">
        <v>667</v>
      </c>
      <c r="J41" t="s">
        <v>668</v>
      </c>
      <c r="K41">
        <v>13.927369470399899</v>
      </c>
      <c r="L41">
        <f>Table1[[#This Row],[total_pnl_usdt]]+L40</f>
        <v>576.19368934441877</v>
      </c>
      <c r="M41">
        <v>1.392736935341</v>
      </c>
      <c r="N41">
        <v>2</v>
      </c>
    </row>
    <row r="42" spans="1:14" x14ac:dyDescent="0.2">
      <c r="A42" t="s">
        <v>661</v>
      </c>
      <c r="B42" t="s">
        <v>14</v>
      </c>
      <c r="C42" t="s">
        <v>237</v>
      </c>
      <c r="D42" t="s">
        <v>16</v>
      </c>
      <c r="E42" t="s">
        <v>17</v>
      </c>
      <c r="F42">
        <v>28</v>
      </c>
      <c r="G42" t="s">
        <v>662</v>
      </c>
      <c r="H42" t="s">
        <v>19</v>
      </c>
      <c r="I42" t="s">
        <v>663</v>
      </c>
      <c r="J42" t="s">
        <v>664</v>
      </c>
      <c r="K42">
        <v>24.628683550000002</v>
      </c>
      <c r="L42">
        <f>Table1[[#This Row],[total_pnl_usdt]]+L41</f>
        <v>600.82237289441878</v>
      </c>
      <c r="M42">
        <v>2.4628546861564899</v>
      </c>
      <c r="N42">
        <v>1</v>
      </c>
    </row>
    <row r="43" spans="1:14" x14ac:dyDescent="0.2">
      <c r="A43" t="s">
        <v>657</v>
      </c>
      <c r="B43" t="s">
        <v>14</v>
      </c>
      <c r="C43" t="s">
        <v>188</v>
      </c>
      <c r="D43" t="s">
        <v>16</v>
      </c>
      <c r="E43" t="s">
        <v>17</v>
      </c>
      <c r="F43">
        <v>28</v>
      </c>
      <c r="G43" t="s">
        <v>658</v>
      </c>
      <c r="H43" t="s">
        <v>19</v>
      </c>
      <c r="I43" t="s">
        <v>659</v>
      </c>
      <c r="J43" t="s">
        <v>660</v>
      </c>
      <c r="K43">
        <v>9.6443103499999001</v>
      </c>
      <c r="L43">
        <f>Table1[[#This Row],[total_pnl_usdt]]+L42</f>
        <v>610.46668324441873</v>
      </c>
      <c r="M43">
        <v>0.96442926045015098</v>
      </c>
      <c r="N43">
        <v>1</v>
      </c>
    </row>
    <row r="44" spans="1:14" x14ac:dyDescent="0.2">
      <c r="A44" t="s">
        <v>653</v>
      </c>
      <c r="B44" t="s">
        <v>14</v>
      </c>
      <c r="C44" t="s">
        <v>165</v>
      </c>
      <c r="D44" t="s">
        <v>16</v>
      </c>
      <c r="E44" t="s">
        <v>17</v>
      </c>
      <c r="F44">
        <v>30</v>
      </c>
      <c r="G44" t="s">
        <v>654</v>
      </c>
      <c r="H44" t="s">
        <v>19</v>
      </c>
      <c r="I44" t="s">
        <v>655</v>
      </c>
      <c r="J44" t="s">
        <v>656</v>
      </c>
      <c r="K44">
        <v>14.080214550000001</v>
      </c>
      <c r="L44">
        <f>Table1[[#This Row],[total_pnl_usdt]]+L43</f>
        <v>624.54689779441878</v>
      </c>
      <c r="M44">
        <v>0.70401123086802997</v>
      </c>
      <c r="N44">
        <v>2</v>
      </c>
    </row>
    <row r="45" spans="1:14" x14ac:dyDescent="0.2">
      <c r="A45" t="s">
        <v>649</v>
      </c>
      <c r="B45" t="s">
        <v>14</v>
      </c>
      <c r="C45" t="s">
        <v>165</v>
      </c>
      <c r="D45" t="s">
        <v>16</v>
      </c>
      <c r="E45" t="s">
        <v>17</v>
      </c>
      <c r="F45">
        <v>30</v>
      </c>
      <c r="G45" t="s">
        <v>650</v>
      </c>
      <c r="H45" t="s">
        <v>19</v>
      </c>
      <c r="I45" t="s">
        <v>651</v>
      </c>
      <c r="J45" t="s">
        <v>652</v>
      </c>
      <c r="K45">
        <v>-2.5511532799999301</v>
      </c>
      <c r="L45">
        <f>Table1[[#This Row],[total_pnl_usdt]]+L44</f>
        <v>621.9957445144189</v>
      </c>
      <c r="M45">
        <v>-0.25511724137930403</v>
      </c>
      <c r="N45">
        <v>1</v>
      </c>
    </row>
    <row r="46" spans="1:14" x14ac:dyDescent="0.2">
      <c r="A46" t="s">
        <v>645</v>
      </c>
      <c r="B46" t="s">
        <v>14</v>
      </c>
      <c r="C46" t="s">
        <v>298</v>
      </c>
      <c r="D46" t="s">
        <v>16</v>
      </c>
      <c r="E46" t="s">
        <v>17</v>
      </c>
      <c r="F46">
        <v>35</v>
      </c>
      <c r="G46" t="s">
        <v>646</v>
      </c>
      <c r="H46" t="s">
        <v>19</v>
      </c>
      <c r="I46" t="s">
        <v>647</v>
      </c>
      <c r="J46" t="s">
        <v>648</v>
      </c>
      <c r="K46">
        <v>16.727203324000001</v>
      </c>
      <c r="L46">
        <f>Table1[[#This Row],[total_pnl_usdt]]+L45</f>
        <v>638.72294783841892</v>
      </c>
      <c r="M46">
        <v>1.6727213962508101</v>
      </c>
      <c r="N46">
        <v>1</v>
      </c>
    </row>
    <row r="47" spans="1:14" x14ac:dyDescent="0.2">
      <c r="A47" t="s">
        <v>641</v>
      </c>
      <c r="B47" t="s">
        <v>14</v>
      </c>
      <c r="C47" t="s">
        <v>112</v>
      </c>
      <c r="D47" t="s">
        <v>16</v>
      </c>
      <c r="E47" t="s">
        <v>17</v>
      </c>
      <c r="F47">
        <v>37</v>
      </c>
      <c r="G47" t="s">
        <v>642</v>
      </c>
      <c r="H47" t="s">
        <v>19</v>
      </c>
      <c r="I47" t="s">
        <v>643</v>
      </c>
      <c r="J47" t="s">
        <v>644</v>
      </c>
      <c r="K47">
        <v>4.5912119300000596</v>
      </c>
      <c r="L47">
        <f>Table1[[#This Row],[total_pnl_usdt]]+L46</f>
        <v>643.31415976841902</v>
      </c>
      <c r="M47">
        <v>0.459107373868053</v>
      </c>
      <c r="N47">
        <v>1</v>
      </c>
    </row>
    <row r="48" spans="1:14" x14ac:dyDescent="0.2">
      <c r="A48" t="s">
        <v>637</v>
      </c>
      <c r="B48" t="s">
        <v>14</v>
      </c>
      <c r="C48" t="s">
        <v>307</v>
      </c>
      <c r="D48" t="s">
        <v>16</v>
      </c>
      <c r="E48" t="s">
        <v>17</v>
      </c>
      <c r="F48">
        <v>37</v>
      </c>
      <c r="G48" t="s">
        <v>638</v>
      </c>
      <c r="H48" t="s">
        <v>19</v>
      </c>
      <c r="I48" t="s">
        <v>639</v>
      </c>
      <c r="J48" t="s">
        <v>640</v>
      </c>
      <c r="K48">
        <v>4.5152110700000296</v>
      </c>
      <c r="L48">
        <f>Table1[[#This Row],[total_pnl_usdt]]+L47</f>
        <v>647.82937083841909</v>
      </c>
      <c r="M48">
        <v>0.45152173913043803</v>
      </c>
      <c r="N48">
        <v>1</v>
      </c>
    </row>
    <row r="49" spans="1:14" x14ac:dyDescent="0.2">
      <c r="A49" t="s">
        <v>633</v>
      </c>
      <c r="B49" t="s">
        <v>14</v>
      </c>
      <c r="C49" t="s">
        <v>34</v>
      </c>
      <c r="D49" t="s">
        <v>16</v>
      </c>
      <c r="E49" t="s">
        <v>17</v>
      </c>
      <c r="F49">
        <v>25</v>
      </c>
      <c r="G49" t="s">
        <v>634</v>
      </c>
      <c r="H49" t="s">
        <v>19</v>
      </c>
      <c r="I49" t="s">
        <v>635</v>
      </c>
      <c r="J49" t="s">
        <v>636</v>
      </c>
      <c r="K49">
        <v>7.4741778200000004</v>
      </c>
      <c r="L49">
        <f>Table1[[#This Row],[total_pnl_usdt]]+L48</f>
        <v>655.30354865841912</v>
      </c>
      <c r="M49">
        <v>0.74741833508956901</v>
      </c>
      <c r="N49">
        <v>1</v>
      </c>
    </row>
    <row r="50" spans="1:14" x14ac:dyDescent="0.2">
      <c r="A50" t="s">
        <v>629</v>
      </c>
      <c r="B50" t="s">
        <v>14</v>
      </c>
      <c r="C50" t="s">
        <v>53</v>
      </c>
      <c r="D50" t="s">
        <v>16</v>
      </c>
      <c r="E50" t="s">
        <v>17</v>
      </c>
      <c r="F50">
        <v>37</v>
      </c>
      <c r="G50" t="s">
        <v>630</v>
      </c>
      <c r="H50" t="s">
        <v>19</v>
      </c>
      <c r="I50" t="s">
        <v>631</v>
      </c>
      <c r="J50" t="s">
        <v>632</v>
      </c>
      <c r="K50">
        <v>12.74778285</v>
      </c>
      <c r="L50">
        <f>Table1[[#This Row],[total_pnl_usdt]]+L49</f>
        <v>668.05133150841914</v>
      </c>
      <c r="M50">
        <v>1.2747753530166901</v>
      </c>
      <c r="N50">
        <v>1</v>
      </c>
    </row>
    <row r="51" spans="1:14" x14ac:dyDescent="0.2">
      <c r="A51" t="s">
        <v>625</v>
      </c>
      <c r="B51" t="s">
        <v>14</v>
      </c>
      <c r="C51" t="s">
        <v>165</v>
      </c>
      <c r="D51" t="s">
        <v>16</v>
      </c>
      <c r="E51" t="s">
        <v>17</v>
      </c>
      <c r="F51">
        <v>30</v>
      </c>
      <c r="G51" t="s">
        <v>626</v>
      </c>
      <c r="H51" t="s">
        <v>19</v>
      </c>
      <c r="I51" t="s">
        <v>627</v>
      </c>
      <c r="J51" t="s">
        <v>628</v>
      </c>
      <c r="K51">
        <v>3.7904453299999701</v>
      </c>
      <c r="L51">
        <f>Table1[[#This Row],[total_pnl_usdt]]+L50</f>
        <v>671.84177683841915</v>
      </c>
      <c r="M51">
        <v>0.37905051062654999</v>
      </c>
      <c r="N51">
        <v>1</v>
      </c>
    </row>
    <row r="52" spans="1:14" x14ac:dyDescent="0.2">
      <c r="A52" t="s">
        <v>620</v>
      </c>
      <c r="B52" t="s">
        <v>281</v>
      </c>
      <c r="C52" t="s">
        <v>621</v>
      </c>
      <c r="D52" t="s">
        <v>16</v>
      </c>
      <c r="E52" t="s">
        <v>17</v>
      </c>
      <c r="F52">
        <v>30</v>
      </c>
      <c r="G52" t="s">
        <v>622</v>
      </c>
      <c r="H52" t="s">
        <v>19</v>
      </c>
      <c r="I52" t="s">
        <v>623</v>
      </c>
      <c r="J52" t="s">
        <v>624</v>
      </c>
      <c r="K52">
        <v>9.1000080990000303</v>
      </c>
      <c r="L52">
        <f>Table1[[#This Row],[total_pnl_usdt]]+L51</f>
        <v>680.94178493741913</v>
      </c>
      <c r="M52">
        <v>0.91000000000000303</v>
      </c>
      <c r="N52">
        <v>1</v>
      </c>
    </row>
    <row r="53" spans="1:14" x14ac:dyDescent="0.2">
      <c r="A53" t="s">
        <v>616</v>
      </c>
      <c r="B53" t="s">
        <v>14</v>
      </c>
      <c r="C53" t="s">
        <v>237</v>
      </c>
      <c r="D53" t="s">
        <v>16</v>
      </c>
      <c r="E53" t="s">
        <v>17</v>
      </c>
      <c r="F53">
        <v>28</v>
      </c>
      <c r="G53" t="s">
        <v>617</v>
      </c>
      <c r="H53" t="s">
        <v>19</v>
      </c>
      <c r="I53" t="s">
        <v>618</v>
      </c>
      <c r="J53" t="s">
        <v>619</v>
      </c>
      <c r="K53">
        <v>8.88597021999996</v>
      </c>
      <c r="L53">
        <f>Table1[[#This Row],[total_pnl_usdt]]+L52</f>
        <v>689.82775515741912</v>
      </c>
      <c r="M53">
        <v>0.88860016764458905</v>
      </c>
      <c r="N53">
        <v>1</v>
      </c>
    </row>
    <row r="54" spans="1:14" x14ac:dyDescent="0.2">
      <c r="A54" t="s">
        <v>612</v>
      </c>
      <c r="B54" t="s">
        <v>14</v>
      </c>
      <c r="C54" t="s">
        <v>73</v>
      </c>
      <c r="D54" t="s">
        <v>16</v>
      </c>
      <c r="E54" t="s">
        <v>17</v>
      </c>
      <c r="F54">
        <v>54</v>
      </c>
      <c r="G54" t="s">
        <v>613</v>
      </c>
      <c r="H54" t="s">
        <v>19</v>
      </c>
      <c r="I54" t="s">
        <v>614</v>
      </c>
      <c r="J54" t="s">
        <v>615</v>
      </c>
      <c r="K54">
        <v>72.574249914000006</v>
      </c>
      <c r="L54">
        <f>Table1[[#This Row],[total_pnl_usdt]]+L53</f>
        <v>762.40200507141913</v>
      </c>
      <c r="M54">
        <v>7.2574279379157396</v>
      </c>
      <c r="N54">
        <v>1</v>
      </c>
    </row>
    <row r="55" spans="1:14" x14ac:dyDescent="0.2">
      <c r="A55" t="s">
        <v>608</v>
      </c>
      <c r="B55" t="s">
        <v>14</v>
      </c>
      <c r="C55" t="s">
        <v>136</v>
      </c>
      <c r="D55" t="s">
        <v>16</v>
      </c>
      <c r="E55" t="s">
        <v>17</v>
      </c>
      <c r="F55">
        <v>24</v>
      </c>
      <c r="G55" t="s">
        <v>609</v>
      </c>
      <c r="H55" t="s">
        <v>19</v>
      </c>
      <c r="I55" t="s">
        <v>610</v>
      </c>
      <c r="J55" t="s">
        <v>611</v>
      </c>
      <c r="K55">
        <v>7.0225769759999803</v>
      </c>
      <c r="L55">
        <f>Table1[[#This Row],[total_pnl_usdt]]+L54</f>
        <v>769.42458204741911</v>
      </c>
      <c r="M55">
        <v>0.70225790265930499</v>
      </c>
      <c r="N55">
        <v>1</v>
      </c>
    </row>
    <row r="56" spans="1:14" x14ac:dyDescent="0.2">
      <c r="A56" t="s">
        <v>604</v>
      </c>
      <c r="B56" t="s">
        <v>14</v>
      </c>
      <c r="C56" t="s">
        <v>29</v>
      </c>
      <c r="D56" t="s">
        <v>16</v>
      </c>
      <c r="E56" t="s">
        <v>17</v>
      </c>
      <c r="F56">
        <v>55</v>
      </c>
      <c r="G56" t="s">
        <v>605</v>
      </c>
      <c r="H56" t="s">
        <v>19</v>
      </c>
      <c r="I56" t="s">
        <v>606</v>
      </c>
      <c r="J56" t="s">
        <v>607</v>
      </c>
      <c r="K56">
        <v>8.8076220749999994</v>
      </c>
      <c r="L56">
        <f>Table1[[#This Row],[total_pnl_usdt]]+L55</f>
        <v>778.23220412241915</v>
      </c>
      <c r="M56">
        <v>0.88076199435559799</v>
      </c>
      <c r="N56">
        <v>1</v>
      </c>
    </row>
    <row r="57" spans="1:14" x14ac:dyDescent="0.2">
      <c r="A57" t="s">
        <v>599</v>
      </c>
      <c r="B57" t="s">
        <v>151</v>
      </c>
      <c r="C57" t="s">
        <v>600</v>
      </c>
      <c r="D57" t="s">
        <v>16</v>
      </c>
      <c r="E57" t="s">
        <v>17</v>
      </c>
      <c r="F57">
        <v>61</v>
      </c>
      <c r="G57" t="s">
        <v>601</v>
      </c>
      <c r="H57" t="s">
        <v>19</v>
      </c>
      <c r="I57" t="s">
        <v>602</v>
      </c>
      <c r="J57" t="s">
        <v>603</v>
      </c>
      <c r="K57">
        <v>-2.4793469461374502</v>
      </c>
      <c r="L57">
        <f>Table1[[#This Row],[total_pnl_usdt]]+L56</f>
        <v>775.75285717628174</v>
      </c>
      <c r="M57">
        <v>-0.24793469440746399</v>
      </c>
      <c r="N57">
        <v>1</v>
      </c>
    </row>
    <row r="58" spans="1:14" x14ac:dyDescent="0.2">
      <c r="A58" t="s">
        <v>595</v>
      </c>
      <c r="B58" t="s">
        <v>14</v>
      </c>
      <c r="C58" t="s">
        <v>188</v>
      </c>
      <c r="D58" t="s">
        <v>16</v>
      </c>
      <c r="E58" t="s">
        <v>17</v>
      </c>
      <c r="F58">
        <v>18</v>
      </c>
      <c r="G58" t="s">
        <v>596</v>
      </c>
      <c r="H58" t="s">
        <v>19</v>
      </c>
      <c r="I58" t="s">
        <v>597</v>
      </c>
      <c r="J58" t="s">
        <v>598</v>
      </c>
      <c r="K58">
        <v>19.13174368</v>
      </c>
      <c r="L58">
        <f>Table1[[#This Row],[total_pnl_usdt]]+L57</f>
        <v>794.88460085628174</v>
      </c>
      <c r="M58">
        <v>0.95659162258512997</v>
      </c>
      <c r="N58">
        <v>2</v>
      </c>
    </row>
    <row r="59" spans="1:14" x14ac:dyDescent="0.2">
      <c r="A59" t="s">
        <v>591</v>
      </c>
      <c r="B59" t="s">
        <v>281</v>
      </c>
      <c r="C59" t="s">
        <v>112</v>
      </c>
      <c r="D59" t="s">
        <v>16</v>
      </c>
      <c r="E59" t="s">
        <v>17</v>
      </c>
      <c r="F59">
        <v>39</v>
      </c>
      <c r="G59" t="s">
        <v>592</v>
      </c>
      <c r="H59" t="s">
        <v>19</v>
      </c>
      <c r="I59" t="s">
        <v>593</v>
      </c>
      <c r="J59" t="s">
        <v>594</v>
      </c>
      <c r="K59">
        <v>5.66700628000011</v>
      </c>
      <c r="L59">
        <f>Table1[[#This Row],[total_pnl_usdt]]+L58</f>
        <v>800.55160713628186</v>
      </c>
      <c r="M59">
        <v>0.28335760054070303</v>
      </c>
      <c r="N59">
        <v>2</v>
      </c>
    </row>
    <row r="60" spans="1:14" x14ac:dyDescent="0.2">
      <c r="A60" t="s">
        <v>587</v>
      </c>
      <c r="B60" t="s">
        <v>14</v>
      </c>
      <c r="C60" t="s">
        <v>112</v>
      </c>
      <c r="D60" t="s">
        <v>16</v>
      </c>
      <c r="E60" t="s">
        <v>17</v>
      </c>
      <c r="F60">
        <v>28</v>
      </c>
      <c r="G60" t="s">
        <v>588</v>
      </c>
      <c r="H60" t="s">
        <v>19</v>
      </c>
      <c r="I60" t="s">
        <v>589</v>
      </c>
      <c r="J60" t="s">
        <v>590</v>
      </c>
      <c r="K60">
        <v>5.2649732099998499</v>
      </c>
      <c r="L60">
        <f>Table1[[#This Row],[total_pnl_usdt]]+L59</f>
        <v>805.81658034628174</v>
      </c>
      <c r="M60">
        <v>0.263249808269156</v>
      </c>
      <c r="N60">
        <v>2</v>
      </c>
    </row>
    <row r="61" spans="1:14" x14ac:dyDescent="0.2">
      <c r="A61" t="s">
        <v>582</v>
      </c>
      <c r="B61" t="s">
        <v>14</v>
      </c>
      <c r="C61" t="s">
        <v>583</v>
      </c>
      <c r="D61" t="s">
        <v>16</v>
      </c>
      <c r="E61" t="s">
        <v>17</v>
      </c>
      <c r="F61">
        <v>60</v>
      </c>
      <c r="G61" t="s">
        <v>584</v>
      </c>
      <c r="H61" t="s">
        <v>19</v>
      </c>
      <c r="I61" t="s">
        <v>585</v>
      </c>
      <c r="J61" t="s">
        <v>586</v>
      </c>
      <c r="K61">
        <v>11.633702599999999</v>
      </c>
      <c r="L61">
        <f>Table1[[#This Row],[total_pnl_usdt]]+L60</f>
        <v>817.45028294628173</v>
      </c>
      <c r="M61">
        <v>1.1633411764705901</v>
      </c>
      <c r="N61">
        <v>1</v>
      </c>
    </row>
    <row r="62" spans="1:14" x14ac:dyDescent="0.2">
      <c r="A62" t="s">
        <v>578</v>
      </c>
      <c r="B62" t="s">
        <v>14</v>
      </c>
      <c r="C62" t="s">
        <v>112</v>
      </c>
      <c r="D62" t="s">
        <v>16</v>
      </c>
      <c r="E62" t="s">
        <v>17</v>
      </c>
      <c r="F62">
        <v>45</v>
      </c>
      <c r="G62" t="s">
        <v>579</v>
      </c>
      <c r="H62" t="s">
        <v>19</v>
      </c>
      <c r="I62" t="s">
        <v>580</v>
      </c>
      <c r="J62" t="s">
        <v>581</v>
      </c>
      <c r="K62">
        <v>30.443596559999701</v>
      </c>
      <c r="L62">
        <f>Table1[[#This Row],[total_pnl_usdt]]+L61</f>
        <v>847.89387950628145</v>
      </c>
      <c r="M62">
        <v>1.52214737581793</v>
      </c>
      <c r="N62">
        <v>2</v>
      </c>
    </row>
    <row r="63" spans="1:14" x14ac:dyDescent="0.2">
      <c r="A63" t="s">
        <v>573</v>
      </c>
      <c r="B63" t="s">
        <v>14</v>
      </c>
      <c r="C63" t="s">
        <v>574</v>
      </c>
      <c r="D63" t="s">
        <v>16</v>
      </c>
      <c r="E63" t="s">
        <v>17</v>
      </c>
      <c r="F63">
        <v>28</v>
      </c>
      <c r="G63" t="s">
        <v>575</v>
      </c>
      <c r="H63" t="s">
        <v>19</v>
      </c>
      <c r="I63" t="s">
        <v>576</v>
      </c>
      <c r="J63" t="s">
        <v>577</v>
      </c>
      <c r="K63">
        <v>6.4875455999999998</v>
      </c>
      <c r="L63">
        <f>Table1[[#This Row],[total_pnl_usdt]]+L62</f>
        <v>854.38142510628143</v>
      </c>
      <c r="M63">
        <v>0.64876805437553098</v>
      </c>
      <c r="N63">
        <v>1</v>
      </c>
    </row>
    <row r="64" spans="1:14" x14ac:dyDescent="0.2">
      <c r="A64" t="s">
        <v>569</v>
      </c>
      <c r="B64" t="s">
        <v>14</v>
      </c>
      <c r="C64" t="s">
        <v>146</v>
      </c>
      <c r="D64" t="s">
        <v>16</v>
      </c>
      <c r="E64" t="s">
        <v>17</v>
      </c>
      <c r="F64">
        <v>34</v>
      </c>
      <c r="G64" t="s">
        <v>570</v>
      </c>
      <c r="H64" t="s">
        <v>19</v>
      </c>
      <c r="I64" t="s">
        <v>571</v>
      </c>
      <c r="J64" t="s">
        <v>572</v>
      </c>
      <c r="K64">
        <v>-161.04647747999999</v>
      </c>
      <c r="L64">
        <f>Table1[[#This Row],[total_pnl_usdt]]+L63</f>
        <v>693.33494762628141</v>
      </c>
      <c r="M64">
        <v>-4.0261633662879897</v>
      </c>
      <c r="N64">
        <v>4</v>
      </c>
    </row>
    <row r="65" spans="1:14" x14ac:dyDescent="0.2">
      <c r="A65" t="s">
        <v>565</v>
      </c>
      <c r="B65" t="s">
        <v>14</v>
      </c>
      <c r="C65" t="s">
        <v>534</v>
      </c>
      <c r="D65" t="s">
        <v>16</v>
      </c>
      <c r="E65" t="s">
        <v>17</v>
      </c>
      <c r="F65">
        <v>35</v>
      </c>
      <c r="G65" t="s">
        <v>566</v>
      </c>
      <c r="H65" t="s">
        <v>19</v>
      </c>
      <c r="I65" t="s">
        <v>567</v>
      </c>
      <c r="J65" t="s">
        <v>568</v>
      </c>
      <c r="K65">
        <v>-12.07451854</v>
      </c>
      <c r="L65">
        <f>Table1[[#This Row],[total_pnl_usdt]]+L64</f>
        <v>681.26042908628142</v>
      </c>
      <c r="M65">
        <v>-0.30186457923016002</v>
      </c>
      <c r="N65">
        <v>4</v>
      </c>
    </row>
    <row r="66" spans="1:14" x14ac:dyDescent="0.2">
      <c r="A66" t="s">
        <v>561</v>
      </c>
      <c r="B66" t="s">
        <v>14</v>
      </c>
      <c r="C66" t="s">
        <v>34</v>
      </c>
      <c r="D66" t="s">
        <v>16</v>
      </c>
      <c r="E66" t="s">
        <v>17</v>
      </c>
      <c r="F66">
        <v>53</v>
      </c>
      <c r="G66" t="s">
        <v>562</v>
      </c>
      <c r="H66" t="s">
        <v>19</v>
      </c>
      <c r="I66" t="s">
        <v>563</v>
      </c>
      <c r="J66" t="s">
        <v>564</v>
      </c>
      <c r="K66">
        <v>18.98739192</v>
      </c>
      <c r="L66">
        <f>Table1[[#This Row],[total_pnl_usdt]]+L65</f>
        <v>700.24782100628147</v>
      </c>
      <c r="M66">
        <v>1.8987394957983199</v>
      </c>
      <c r="N66">
        <v>1</v>
      </c>
    </row>
    <row r="67" spans="1:14" x14ac:dyDescent="0.2">
      <c r="A67" t="s">
        <v>556</v>
      </c>
      <c r="B67" t="s">
        <v>14</v>
      </c>
      <c r="C67" t="s">
        <v>557</v>
      </c>
      <c r="D67" t="s">
        <v>16</v>
      </c>
      <c r="E67" t="s">
        <v>17</v>
      </c>
      <c r="F67">
        <v>53</v>
      </c>
      <c r="G67" t="s">
        <v>558</v>
      </c>
      <c r="H67" t="s">
        <v>19</v>
      </c>
      <c r="I67" t="s">
        <v>559</v>
      </c>
      <c r="J67" t="s">
        <v>560</v>
      </c>
      <c r="K67">
        <v>11.80211109</v>
      </c>
      <c r="L67">
        <f>Table1[[#This Row],[total_pnl_usdt]]+L66</f>
        <v>712.04993209628151</v>
      </c>
      <c r="M67">
        <v>0.59010540992417504</v>
      </c>
      <c r="N67">
        <v>2</v>
      </c>
    </row>
    <row r="68" spans="1:14" x14ac:dyDescent="0.2">
      <c r="A68" t="s">
        <v>552</v>
      </c>
      <c r="B68" t="s">
        <v>14</v>
      </c>
      <c r="C68" t="s">
        <v>34</v>
      </c>
      <c r="D68" t="s">
        <v>16</v>
      </c>
      <c r="E68" t="s">
        <v>17</v>
      </c>
      <c r="F68">
        <v>22</v>
      </c>
      <c r="G68" t="s">
        <v>553</v>
      </c>
      <c r="H68" t="s">
        <v>19</v>
      </c>
      <c r="I68" t="s">
        <v>554</v>
      </c>
      <c r="J68" t="s">
        <v>555</v>
      </c>
      <c r="K68">
        <v>21.214416750000002</v>
      </c>
      <c r="L68">
        <f>Table1[[#This Row],[total_pnl_usdt]]+L67</f>
        <v>733.26434884628156</v>
      </c>
      <c r="M68">
        <v>1.06072253465605</v>
      </c>
      <c r="N68">
        <v>2</v>
      </c>
    </row>
    <row r="69" spans="1:14" x14ac:dyDescent="0.2">
      <c r="A69" t="s">
        <v>548</v>
      </c>
      <c r="B69" t="s">
        <v>14</v>
      </c>
      <c r="C69" t="s">
        <v>53</v>
      </c>
      <c r="D69" t="s">
        <v>16</v>
      </c>
      <c r="E69" t="s">
        <v>17</v>
      </c>
      <c r="F69">
        <v>37</v>
      </c>
      <c r="G69" t="s">
        <v>549</v>
      </c>
      <c r="H69" t="s">
        <v>19</v>
      </c>
      <c r="I69" t="s">
        <v>550</v>
      </c>
      <c r="J69" t="s">
        <v>551</v>
      </c>
      <c r="K69">
        <v>8.0908689600000194</v>
      </c>
      <c r="L69">
        <f>Table1[[#This Row],[total_pnl_usdt]]+L68</f>
        <v>741.35521780628153</v>
      </c>
      <c r="M69">
        <v>0.80909090909091097</v>
      </c>
      <c r="N69">
        <v>1</v>
      </c>
    </row>
    <row r="70" spans="1:14" x14ac:dyDescent="0.2">
      <c r="A70" t="s">
        <v>543</v>
      </c>
      <c r="B70" t="s">
        <v>14</v>
      </c>
      <c r="C70" t="s">
        <v>544</v>
      </c>
      <c r="D70" t="s">
        <v>16</v>
      </c>
      <c r="E70" t="s">
        <v>17</v>
      </c>
      <c r="F70">
        <v>45</v>
      </c>
      <c r="G70" t="s">
        <v>545</v>
      </c>
      <c r="H70" t="s">
        <v>19</v>
      </c>
      <c r="I70" t="s">
        <v>546</v>
      </c>
      <c r="J70" t="s">
        <v>547</v>
      </c>
      <c r="K70">
        <v>28.28879912</v>
      </c>
      <c r="L70">
        <f>Table1[[#This Row],[total_pnl_usdt]]+L69</f>
        <v>769.64401692628155</v>
      </c>
      <c r="M70">
        <v>1.4144400408664</v>
      </c>
      <c r="N70">
        <v>2</v>
      </c>
    </row>
    <row r="71" spans="1:14" x14ac:dyDescent="0.2">
      <c r="A71" t="s">
        <v>538</v>
      </c>
      <c r="B71" t="s">
        <v>14</v>
      </c>
      <c r="C71" t="s">
        <v>539</v>
      </c>
      <c r="D71" t="s">
        <v>16</v>
      </c>
      <c r="E71" t="s">
        <v>17</v>
      </c>
      <c r="F71">
        <v>30</v>
      </c>
      <c r="G71" t="s">
        <v>540</v>
      </c>
      <c r="H71" t="s">
        <v>19</v>
      </c>
      <c r="I71" t="s">
        <v>541</v>
      </c>
      <c r="J71" t="s">
        <v>542</v>
      </c>
      <c r="K71">
        <v>38.830574916999801</v>
      </c>
      <c r="L71">
        <f>Table1[[#This Row],[total_pnl_usdt]]+L70</f>
        <v>808.47459184328136</v>
      </c>
      <c r="M71">
        <v>1.2943536539540399</v>
      </c>
      <c r="N71">
        <v>3</v>
      </c>
    </row>
    <row r="72" spans="1:14" x14ac:dyDescent="0.2">
      <c r="A72" t="s">
        <v>533</v>
      </c>
      <c r="B72" t="s">
        <v>14</v>
      </c>
      <c r="C72" t="s">
        <v>534</v>
      </c>
      <c r="D72" t="s">
        <v>16</v>
      </c>
      <c r="E72" t="s">
        <v>17</v>
      </c>
      <c r="F72">
        <v>28</v>
      </c>
      <c r="G72" t="s">
        <v>535</v>
      </c>
      <c r="H72" t="s">
        <v>19</v>
      </c>
      <c r="I72" t="s">
        <v>536</v>
      </c>
      <c r="J72" t="s">
        <v>537</v>
      </c>
      <c r="K72">
        <v>2.75353406999999</v>
      </c>
      <c r="L72">
        <f>Table1[[#This Row],[total_pnl_usdt]]+L71</f>
        <v>811.22812591328136</v>
      </c>
      <c r="M72">
        <v>9.1784260649728194E-2</v>
      </c>
      <c r="N72">
        <v>3</v>
      </c>
    </row>
    <row r="73" spans="1:14" x14ac:dyDescent="0.2">
      <c r="A73" t="s">
        <v>529</v>
      </c>
      <c r="B73" t="s">
        <v>14</v>
      </c>
      <c r="C73" t="s">
        <v>351</v>
      </c>
      <c r="D73" t="s">
        <v>16</v>
      </c>
      <c r="E73" t="s">
        <v>17</v>
      </c>
      <c r="F73">
        <v>39</v>
      </c>
      <c r="G73" t="s">
        <v>530</v>
      </c>
      <c r="H73" t="s">
        <v>19</v>
      </c>
      <c r="I73" t="s">
        <v>531</v>
      </c>
      <c r="J73" t="s">
        <v>532</v>
      </c>
      <c r="K73">
        <v>2.4206249999998102</v>
      </c>
      <c r="L73">
        <f>Table1[[#This Row],[total_pnl_usdt]]+L72</f>
        <v>813.64875091328122</v>
      </c>
      <c r="M73">
        <v>0.24206855171377401</v>
      </c>
      <c r="N73">
        <v>1</v>
      </c>
    </row>
    <row r="74" spans="1:14" x14ac:dyDescent="0.2">
      <c r="A74" t="s">
        <v>524</v>
      </c>
      <c r="B74" t="s">
        <v>14</v>
      </c>
      <c r="C74" t="s">
        <v>525</v>
      </c>
      <c r="D74" t="s">
        <v>16</v>
      </c>
      <c r="E74" t="s">
        <v>17</v>
      </c>
      <c r="F74">
        <v>169</v>
      </c>
      <c r="G74" t="s">
        <v>526</v>
      </c>
      <c r="H74" t="s">
        <v>19</v>
      </c>
      <c r="I74" t="s">
        <v>527</v>
      </c>
      <c r="J74" t="s">
        <v>528</v>
      </c>
      <c r="K74">
        <v>4.6233200000000299</v>
      </c>
      <c r="L74">
        <f>Table1[[#This Row],[total_pnl_usdt]]+L73</f>
        <v>818.27207091328125</v>
      </c>
      <c r="M74">
        <v>0.462320441988953</v>
      </c>
      <c r="N74">
        <v>1</v>
      </c>
    </row>
    <row r="75" spans="1:14" x14ac:dyDescent="0.2">
      <c r="A75" t="s">
        <v>520</v>
      </c>
      <c r="B75" t="s">
        <v>14</v>
      </c>
      <c r="C75" t="s">
        <v>312</v>
      </c>
      <c r="D75" t="s">
        <v>16</v>
      </c>
      <c r="E75" t="s">
        <v>17</v>
      </c>
      <c r="F75">
        <v>30</v>
      </c>
      <c r="G75" t="s">
        <v>521</v>
      </c>
      <c r="H75" t="s">
        <v>19</v>
      </c>
      <c r="I75" t="s">
        <v>522</v>
      </c>
      <c r="J75" t="s">
        <v>523</v>
      </c>
      <c r="K75">
        <v>5.4552337</v>
      </c>
      <c r="L75">
        <f>Table1[[#This Row],[total_pnl_usdt]]+L74</f>
        <v>823.72730461328126</v>
      </c>
      <c r="M75">
        <v>0.54552238805970199</v>
      </c>
      <c r="N75">
        <v>1</v>
      </c>
    </row>
    <row r="76" spans="1:14" x14ac:dyDescent="0.2">
      <c r="A76" t="s">
        <v>516</v>
      </c>
      <c r="B76" t="s">
        <v>333</v>
      </c>
      <c r="C76" t="s">
        <v>499</v>
      </c>
      <c r="D76" t="s">
        <v>16</v>
      </c>
      <c r="E76" t="s">
        <v>17</v>
      </c>
      <c r="F76">
        <v>30</v>
      </c>
      <c r="G76" t="s">
        <v>517</v>
      </c>
      <c r="H76" t="s">
        <v>19</v>
      </c>
      <c r="I76" t="s">
        <v>518</v>
      </c>
      <c r="J76" t="s">
        <v>519</v>
      </c>
      <c r="K76">
        <v>-2.07907488799983</v>
      </c>
      <c r="L76">
        <f>Table1[[#This Row],[total_pnl_usdt]]+L75</f>
        <v>821.64822972528145</v>
      </c>
      <c r="M76">
        <v>-0.103953675582658</v>
      </c>
      <c r="N76">
        <v>2</v>
      </c>
    </row>
    <row r="77" spans="1:14" x14ac:dyDescent="0.2">
      <c r="A77" t="s">
        <v>512</v>
      </c>
      <c r="B77" t="s">
        <v>14</v>
      </c>
      <c r="C77" t="s">
        <v>15</v>
      </c>
      <c r="D77" t="s">
        <v>16</v>
      </c>
      <c r="E77" t="s">
        <v>17</v>
      </c>
      <c r="F77">
        <v>43</v>
      </c>
      <c r="G77" t="s">
        <v>513</v>
      </c>
      <c r="H77" t="s">
        <v>19</v>
      </c>
      <c r="I77" t="s">
        <v>514</v>
      </c>
      <c r="J77" t="s">
        <v>515</v>
      </c>
      <c r="K77">
        <v>23.262581039999599</v>
      </c>
      <c r="L77">
        <f>Table1[[#This Row],[total_pnl_usdt]]+L76</f>
        <v>844.9108107652811</v>
      </c>
      <c r="M77">
        <v>0.46525147750253798</v>
      </c>
      <c r="N77">
        <v>5</v>
      </c>
    </row>
    <row r="78" spans="1:14" x14ac:dyDescent="0.2">
      <c r="A78" t="s">
        <v>507</v>
      </c>
      <c r="B78" t="s">
        <v>14</v>
      </c>
      <c r="C78" t="s">
        <v>508</v>
      </c>
      <c r="D78" t="s">
        <v>16</v>
      </c>
      <c r="E78" t="s">
        <v>17</v>
      </c>
      <c r="F78">
        <v>35</v>
      </c>
      <c r="G78" t="s">
        <v>509</v>
      </c>
      <c r="H78" t="s">
        <v>19</v>
      </c>
      <c r="I78" t="s">
        <v>510</v>
      </c>
      <c r="J78" t="s">
        <v>511</v>
      </c>
      <c r="K78">
        <v>7.9052859199999297</v>
      </c>
      <c r="L78">
        <f>Table1[[#This Row],[total_pnl_usdt]]+L77</f>
        <v>852.81609668528108</v>
      </c>
      <c r="M78">
        <v>0.79047375683548105</v>
      </c>
      <c r="N78">
        <v>1</v>
      </c>
    </row>
    <row r="79" spans="1:14" x14ac:dyDescent="0.2">
      <c r="A79" t="s">
        <v>503</v>
      </c>
      <c r="B79" t="s">
        <v>23</v>
      </c>
      <c r="C79" t="s">
        <v>499</v>
      </c>
      <c r="D79" t="s">
        <v>16</v>
      </c>
      <c r="E79" t="s">
        <v>17</v>
      </c>
      <c r="F79">
        <v>33</v>
      </c>
      <c r="G79" t="s">
        <v>504</v>
      </c>
      <c r="H79" t="s">
        <v>19</v>
      </c>
      <c r="I79" t="s">
        <v>505</v>
      </c>
      <c r="J79" t="s">
        <v>506</v>
      </c>
      <c r="K79">
        <v>48.870949714213701</v>
      </c>
      <c r="L79">
        <f>Table1[[#This Row],[total_pnl_usdt]]+L78</f>
        <v>901.68704639949476</v>
      </c>
      <c r="M79">
        <v>0.97741900207704102</v>
      </c>
      <c r="N79">
        <v>5</v>
      </c>
    </row>
    <row r="80" spans="1:14" x14ac:dyDescent="0.2">
      <c r="A80" t="s">
        <v>498</v>
      </c>
      <c r="B80" t="s">
        <v>23</v>
      </c>
      <c r="C80" t="s">
        <v>499</v>
      </c>
      <c r="D80" t="s">
        <v>16</v>
      </c>
      <c r="E80" t="s">
        <v>17</v>
      </c>
      <c r="F80">
        <v>33</v>
      </c>
      <c r="G80" t="s">
        <v>500</v>
      </c>
      <c r="H80" t="s">
        <v>19</v>
      </c>
      <c r="I80" t="s">
        <v>501</v>
      </c>
      <c r="J80" t="s">
        <v>502</v>
      </c>
      <c r="K80">
        <v>5.5874165084578804</v>
      </c>
      <c r="L80">
        <f>Table1[[#This Row],[total_pnl_usdt]]+L79</f>
        <v>907.27446290795262</v>
      </c>
      <c r="M80">
        <v>0.55874165139782495</v>
      </c>
      <c r="N80">
        <v>1</v>
      </c>
    </row>
    <row r="81" spans="1:14" x14ac:dyDescent="0.2">
      <c r="A81" t="s">
        <v>494</v>
      </c>
      <c r="B81" t="s">
        <v>14</v>
      </c>
      <c r="C81" t="s">
        <v>351</v>
      </c>
      <c r="D81" t="s">
        <v>16</v>
      </c>
      <c r="E81" t="s">
        <v>17</v>
      </c>
      <c r="F81">
        <v>59</v>
      </c>
      <c r="G81" t="s">
        <v>495</v>
      </c>
      <c r="H81" t="s">
        <v>19</v>
      </c>
      <c r="I81" t="s">
        <v>496</v>
      </c>
      <c r="J81" t="s">
        <v>497</v>
      </c>
      <c r="K81">
        <v>2.8409355700000498</v>
      </c>
      <c r="L81">
        <f>Table1[[#This Row],[total_pnl_usdt]]+L80</f>
        <v>910.11539847795268</v>
      </c>
      <c r="M81">
        <v>9.4697463758075404E-2</v>
      </c>
      <c r="N81">
        <v>3</v>
      </c>
    </row>
    <row r="82" spans="1:14" x14ac:dyDescent="0.2">
      <c r="A82" t="s">
        <v>489</v>
      </c>
      <c r="B82" t="s">
        <v>23</v>
      </c>
      <c r="C82" t="s">
        <v>490</v>
      </c>
      <c r="D82" t="s">
        <v>16</v>
      </c>
      <c r="E82" t="s">
        <v>17</v>
      </c>
      <c r="F82">
        <v>19</v>
      </c>
      <c r="G82" t="s">
        <v>491</v>
      </c>
      <c r="H82" t="s">
        <v>19</v>
      </c>
      <c r="I82" t="s">
        <v>492</v>
      </c>
      <c r="J82" t="s">
        <v>493</v>
      </c>
      <c r="K82">
        <v>22.128453070000099</v>
      </c>
      <c r="L82">
        <f>Table1[[#This Row],[total_pnl_usdt]]+L81</f>
        <v>932.24385154795277</v>
      </c>
      <c r="M82">
        <v>0.73760769429339401</v>
      </c>
      <c r="N82">
        <v>3</v>
      </c>
    </row>
    <row r="83" spans="1:14" x14ac:dyDescent="0.2">
      <c r="A83" t="s">
        <v>484</v>
      </c>
      <c r="B83" t="s">
        <v>14</v>
      </c>
      <c r="C83" t="s">
        <v>485</v>
      </c>
      <c r="D83" t="s">
        <v>16</v>
      </c>
      <c r="E83" t="s">
        <v>17</v>
      </c>
      <c r="F83">
        <v>61</v>
      </c>
      <c r="G83" t="s">
        <v>486</v>
      </c>
      <c r="H83" t="s">
        <v>19</v>
      </c>
      <c r="I83" t="s">
        <v>487</v>
      </c>
      <c r="J83" t="s">
        <v>488</v>
      </c>
      <c r="K83">
        <v>14.0038053999999</v>
      </c>
      <c r="L83">
        <f>Table1[[#This Row],[total_pnl_usdt]]+L82</f>
        <v>946.24765694795269</v>
      </c>
      <c r="M83">
        <v>1.4003981850171201</v>
      </c>
      <c r="N83">
        <v>1</v>
      </c>
    </row>
    <row r="84" spans="1:14" x14ac:dyDescent="0.2">
      <c r="A84" t="s">
        <v>480</v>
      </c>
      <c r="B84" t="s">
        <v>14</v>
      </c>
      <c r="C84" t="s">
        <v>237</v>
      </c>
      <c r="D84" t="s">
        <v>16</v>
      </c>
      <c r="E84" t="s">
        <v>17</v>
      </c>
      <c r="F84">
        <v>33</v>
      </c>
      <c r="G84" t="s">
        <v>481</v>
      </c>
      <c r="H84" t="s">
        <v>19</v>
      </c>
      <c r="I84" t="s">
        <v>482</v>
      </c>
      <c r="J84" t="s">
        <v>483</v>
      </c>
      <c r="K84">
        <v>2.6671513799998698</v>
      </c>
      <c r="L84">
        <f>Table1[[#This Row],[total_pnl_usdt]]+L83</f>
        <v>948.91480832795253</v>
      </c>
      <c r="M84">
        <v>0.13335707624559601</v>
      </c>
      <c r="N84">
        <v>2</v>
      </c>
    </row>
    <row r="85" spans="1:14" x14ac:dyDescent="0.2">
      <c r="A85" t="s">
        <v>476</v>
      </c>
      <c r="B85" t="s">
        <v>14</v>
      </c>
      <c r="C85" t="s">
        <v>29</v>
      </c>
      <c r="D85" t="s">
        <v>16</v>
      </c>
      <c r="E85" t="s">
        <v>17</v>
      </c>
      <c r="F85">
        <v>54</v>
      </c>
      <c r="G85" t="s">
        <v>477</v>
      </c>
      <c r="H85" t="s">
        <v>19</v>
      </c>
      <c r="I85" t="s">
        <v>478</v>
      </c>
      <c r="J85" t="s">
        <v>479</v>
      </c>
      <c r="K85">
        <v>2.2151886749999399</v>
      </c>
      <c r="L85">
        <f>Table1[[#This Row],[total_pnl_usdt]]+L84</f>
        <v>951.12999700295245</v>
      </c>
      <c r="M85">
        <v>0.221518987341767</v>
      </c>
      <c r="N85">
        <v>1</v>
      </c>
    </row>
    <row r="86" spans="1:14" x14ac:dyDescent="0.2">
      <c r="A86" t="s">
        <v>472</v>
      </c>
      <c r="B86" t="s">
        <v>151</v>
      </c>
      <c r="C86" t="s">
        <v>188</v>
      </c>
      <c r="D86" t="s">
        <v>16</v>
      </c>
      <c r="E86" t="s">
        <v>17</v>
      </c>
      <c r="F86">
        <v>43</v>
      </c>
      <c r="G86" t="s">
        <v>473</v>
      </c>
      <c r="H86" t="s">
        <v>19</v>
      </c>
      <c r="I86" t="s">
        <v>474</v>
      </c>
      <c r="J86" t="s">
        <v>475</v>
      </c>
      <c r="K86">
        <v>18.155955134900001</v>
      </c>
      <c r="L86">
        <f>Table1[[#This Row],[total_pnl_usdt]]+L85</f>
        <v>969.28595213785241</v>
      </c>
      <c r="M86">
        <v>0.45389888452283</v>
      </c>
      <c r="N86">
        <v>4</v>
      </c>
    </row>
    <row r="87" spans="1:14" x14ac:dyDescent="0.2">
      <c r="A87" t="s">
        <v>467</v>
      </c>
      <c r="B87" t="s">
        <v>14</v>
      </c>
      <c r="C87" t="s">
        <v>468</v>
      </c>
      <c r="D87" t="s">
        <v>16</v>
      </c>
      <c r="E87" t="s">
        <v>17</v>
      </c>
      <c r="F87">
        <v>60</v>
      </c>
      <c r="G87" t="s">
        <v>469</v>
      </c>
      <c r="H87" t="s">
        <v>19</v>
      </c>
      <c r="I87" t="s">
        <v>470</v>
      </c>
      <c r="J87" t="s">
        <v>471</v>
      </c>
      <c r="K87">
        <v>4.6727076060000501</v>
      </c>
      <c r="L87">
        <f>Table1[[#This Row],[total_pnl_usdt]]+L86</f>
        <v>973.95865974385242</v>
      </c>
      <c r="M87">
        <v>0.467270992366418</v>
      </c>
      <c r="N87">
        <v>1</v>
      </c>
    </row>
    <row r="88" spans="1:14" x14ac:dyDescent="0.2">
      <c r="A88" s="1" t="s">
        <v>463</v>
      </c>
      <c r="B88" t="s">
        <v>151</v>
      </c>
      <c r="C88" t="s">
        <v>58</v>
      </c>
      <c r="D88" t="s">
        <v>16</v>
      </c>
      <c r="E88" t="s">
        <v>17</v>
      </c>
      <c r="F88">
        <v>61</v>
      </c>
      <c r="G88" t="s">
        <v>464</v>
      </c>
      <c r="H88" t="s">
        <v>19</v>
      </c>
      <c r="I88" t="s">
        <v>465</v>
      </c>
      <c r="J88" t="s">
        <v>466</v>
      </c>
      <c r="K88">
        <v>424.135877491484</v>
      </c>
      <c r="L88">
        <f>Table1[[#This Row],[total_pnl_usdt]]+L87</f>
        <v>1398.0945372353365</v>
      </c>
      <c r="M88">
        <v>21.206793874574601</v>
      </c>
      <c r="N88">
        <v>2</v>
      </c>
    </row>
    <row r="89" spans="1:14" x14ac:dyDescent="0.2">
      <c r="A89" t="s">
        <v>459</v>
      </c>
      <c r="B89" t="s">
        <v>333</v>
      </c>
      <c r="C89" t="s">
        <v>58</v>
      </c>
      <c r="D89" t="s">
        <v>16</v>
      </c>
      <c r="E89" t="s">
        <v>17</v>
      </c>
      <c r="F89">
        <v>52</v>
      </c>
      <c r="G89" t="s">
        <v>460</v>
      </c>
      <c r="H89" t="s">
        <v>19</v>
      </c>
      <c r="I89" t="s">
        <v>461</v>
      </c>
      <c r="J89" t="s">
        <v>462</v>
      </c>
      <c r="K89">
        <v>439.18261320491899</v>
      </c>
      <c r="L89">
        <f>Table1[[#This Row],[total_pnl_usdt]]+L88</f>
        <v>1837.2771504402554</v>
      </c>
      <c r="M89">
        <v>21.959131061329501</v>
      </c>
      <c r="N89">
        <v>2</v>
      </c>
    </row>
    <row r="90" spans="1:14" x14ac:dyDescent="0.2">
      <c r="A90" t="s">
        <v>455</v>
      </c>
      <c r="B90" t="s">
        <v>14</v>
      </c>
      <c r="C90" t="s">
        <v>29</v>
      </c>
      <c r="D90" t="s">
        <v>16</v>
      </c>
      <c r="E90" t="s">
        <v>17</v>
      </c>
      <c r="F90">
        <v>52</v>
      </c>
      <c r="G90" t="s">
        <v>456</v>
      </c>
      <c r="H90" t="s">
        <v>19</v>
      </c>
      <c r="I90" t="s">
        <v>457</v>
      </c>
      <c r="J90" t="s">
        <v>458</v>
      </c>
      <c r="K90">
        <v>6.3060301590001497</v>
      </c>
      <c r="L90">
        <f>Table1[[#This Row],[total_pnl_usdt]]+L89</f>
        <v>1843.5831805992555</v>
      </c>
      <c r="M90">
        <v>0.31530131151729002</v>
      </c>
      <c r="N90">
        <v>2</v>
      </c>
    </row>
    <row r="91" spans="1:14" x14ac:dyDescent="0.2">
      <c r="A91" t="s">
        <v>451</v>
      </c>
      <c r="B91" t="s">
        <v>14</v>
      </c>
      <c r="C91" t="s">
        <v>15</v>
      </c>
      <c r="D91" t="s">
        <v>16</v>
      </c>
      <c r="E91" t="s">
        <v>17</v>
      </c>
      <c r="F91">
        <v>28</v>
      </c>
      <c r="G91" t="s">
        <v>452</v>
      </c>
      <c r="H91" t="s">
        <v>19</v>
      </c>
      <c r="I91" t="s">
        <v>453</v>
      </c>
      <c r="J91" t="s">
        <v>454</v>
      </c>
      <c r="K91">
        <v>-332.13301396999998</v>
      </c>
      <c r="L91">
        <f>Table1[[#This Row],[total_pnl_usdt]]+L90</f>
        <v>1511.4501666292554</v>
      </c>
      <c r="M91">
        <v>-6.64258102012327</v>
      </c>
      <c r="N91">
        <v>5</v>
      </c>
    </row>
    <row r="92" spans="1:14" x14ac:dyDescent="0.2">
      <c r="A92" t="s">
        <v>446</v>
      </c>
      <c r="B92" t="s">
        <v>23</v>
      </c>
      <c r="C92" t="s">
        <v>447</v>
      </c>
      <c r="D92" t="s">
        <v>16</v>
      </c>
      <c r="E92" t="s">
        <v>17</v>
      </c>
      <c r="F92">
        <v>27</v>
      </c>
      <c r="G92" t="s">
        <v>448</v>
      </c>
      <c r="H92" t="s">
        <v>19</v>
      </c>
      <c r="I92" t="s">
        <v>449</v>
      </c>
      <c r="J92" t="s">
        <v>450</v>
      </c>
      <c r="K92">
        <v>18.921472855999902</v>
      </c>
      <c r="L92">
        <f>Table1[[#This Row],[total_pnl_usdt]]+L91</f>
        <v>1530.3716394852552</v>
      </c>
      <c r="M92">
        <v>1.89214659685863</v>
      </c>
      <c r="N92">
        <v>1</v>
      </c>
    </row>
    <row r="93" spans="1:14" x14ac:dyDescent="0.2">
      <c r="A93" t="s">
        <v>441</v>
      </c>
      <c r="B93" t="s">
        <v>14</v>
      </c>
      <c r="C93" t="s">
        <v>442</v>
      </c>
      <c r="D93" t="s">
        <v>16</v>
      </c>
      <c r="E93" t="s">
        <v>17</v>
      </c>
      <c r="F93">
        <v>61</v>
      </c>
      <c r="G93" t="s">
        <v>443</v>
      </c>
      <c r="H93" t="s">
        <v>19</v>
      </c>
      <c r="I93" t="s">
        <v>444</v>
      </c>
      <c r="J93" t="s">
        <v>445</v>
      </c>
      <c r="K93">
        <v>5.0477093999999996</v>
      </c>
      <c r="L93">
        <f>Table1[[#This Row],[total_pnl_usdt]]+L92</f>
        <v>1535.4193488852552</v>
      </c>
      <c r="M93">
        <v>0.50476190476190497</v>
      </c>
      <c r="N93">
        <v>1</v>
      </c>
    </row>
    <row r="94" spans="1:14" x14ac:dyDescent="0.2">
      <c r="A94" t="s">
        <v>436</v>
      </c>
      <c r="B94" t="s">
        <v>14</v>
      </c>
      <c r="C94" t="s">
        <v>437</v>
      </c>
      <c r="D94" t="s">
        <v>16</v>
      </c>
      <c r="E94" t="s">
        <v>17</v>
      </c>
      <c r="F94">
        <v>33</v>
      </c>
      <c r="G94" t="s">
        <v>438</v>
      </c>
      <c r="H94" t="s">
        <v>19</v>
      </c>
      <c r="I94" t="s">
        <v>439</v>
      </c>
      <c r="J94" t="s">
        <v>440</v>
      </c>
      <c r="K94">
        <v>2.3895164699998501</v>
      </c>
      <c r="L94">
        <f>Table1[[#This Row],[total_pnl_usdt]]+L93</f>
        <v>1537.808865355255</v>
      </c>
      <c r="M94">
        <v>5.9737959391019002E-2</v>
      </c>
      <c r="N94">
        <v>4</v>
      </c>
    </row>
    <row r="95" spans="1:14" x14ac:dyDescent="0.2">
      <c r="A95" t="s">
        <v>432</v>
      </c>
      <c r="B95" t="s">
        <v>14</v>
      </c>
      <c r="C95" t="s">
        <v>312</v>
      </c>
      <c r="D95" t="s">
        <v>16</v>
      </c>
      <c r="E95" t="s">
        <v>17</v>
      </c>
      <c r="F95">
        <v>30</v>
      </c>
      <c r="G95" t="s">
        <v>433</v>
      </c>
      <c r="H95" t="s">
        <v>19</v>
      </c>
      <c r="I95" t="s">
        <v>434</v>
      </c>
      <c r="J95" t="s">
        <v>435</v>
      </c>
      <c r="K95">
        <v>3.9199960799999598</v>
      </c>
      <c r="L95">
        <f>Table1[[#This Row],[total_pnl_usdt]]+L94</f>
        <v>1541.7288614352549</v>
      </c>
      <c r="M95">
        <v>0.39199999999999602</v>
      </c>
      <c r="N95">
        <v>1</v>
      </c>
    </row>
    <row r="96" spans="1:14" x14ac:dyDescent="0.2">
      <c r="A96" t="s">
        <v>427</v>
      </c>
      <c r="B96" t="s">
        <v>151</v>
      </c>
      <c r="C96" t="s">
        <v>428</v>
      </c>
      <c r="D96" t="s">
        <v>16</v>
      </c>
      <c r="E96" t="s">
        <v>17</v>
      </c>
      <c r="F96">
        <v>61</v>
      </c>
      <c r="G96" t="s">
        <v>429</v>
      </c>
      <c r="H96" t="s">
        <v>19</v>
      </c>
      <c r="I96" t="s">
        <v>430</v>
      </c>
      <c r="J96" t="s">
        <v>431</v>
      </c>
      <c r="K96">
        <v>1.7521921301984</v>
      </c>
      <c r="L96">
        <f>Table1[[#This Row],[total_pnl_usdt]]+L95</f>
        <v>1543.4810535654533</v>
      </c>
      <c r="M96">
        <v>8.7609606509079396E-2</v>
      </c>
      <c r="N96">
        <v>2</v>
      </c>
    </row>
    <row r="97" spans="1:14" x14ac:dyDescent="0.2">
      <c r="A97" t="s">
        <v>423</v>
      </c>
      <c r="B97" t="s">
        <v>14</v>
      </c>
      <c r="C97" t="s">
        <v>34</v>
      </c>
      <c r="D97" t="s">
        <v>16</v>
      </c>
      <c r="E97" t="s">
        <v>17</v>
      </c>
      <c r="F97">
        <v>25</v>
      </c>
      <c r="G97" t="s">
        <v>424</v>
      </c>
      <c r="H97" t="s">
        <v>19</v>
      </c>
      <c r="I97" t="s">
        <v>425</v>
      </c>
      <c r="J97" t="s">
        <v>426</v>
      </c>
      <c r="K97">
        <v>-0.95611094999999902</v>
      </c>
      <c r="L97">
        <f>Table1[[#This Row],[total_pnl_usdt]]+L96</f>
        <v>1542.5249426154533</v>
      </c>
      <c r="M97">
        <v>-9.5611285266457596E-2</v>
      </c>
      <c r="N97">
        <v>1</v>
      </c>
    </row>
    <row r="98" spans="1:14" x14ac:dyDescent="0.2">
      <c r="A98" t="s">
        <v>418</v>
      </c>
      <c r="B98" t="s">
        <v>333</v>
      </c>
      <c r="C98" t="s">
        <v>419</v>
      </c>
      <c r="D98" t="s">
        <v>16</v>
      </c>
      <c r="E98" t="s">
        <v>17</v>
      </c>
      <c r="F98">
        <v>60</v>
      </c>
      <c r="G98" t="s">
        <v>420</v>
      </c>
      <c r="H98" t="s">
        <v>19</v>
      </c>
      <c r="I98" t="s">
        <v>421</v>
      </c>
      <c r="J98" t="s">
        <v>422</v>
      </c>
      <c r="K98">
        <v>37.507193365200003</v>
      </c>
      <c r="L98">
        <f>Table1[[#This Row],[total_pnl_usdt]]+L97</f>
        <v>1580.0321359806533</v>
      </c>
      <c r="M98">
        <v>3.75071933036882</v>
      </c>
      <c r="N98">
        <v>1</v>
      </c>
    </row>
    <row r="99" spans="1:14" x14ac:dyDescent="0.2">
      <c r="A99" t="s">
        <v>414</v>
      </c>
      <c r="B99" t="s">
        <v>281</v>
      </c>
      <c r="C99" t="s">
        <v>112</v>
      </c>
      <c r="D99" t="s">
        <v>16</v>
      </c>
      <c r="E99" t="s">
        <v>17</v>
      </c>
      <c r="F99">
        <v>39</v>
      </c>
      <c r="G99" t="s">
        <v>415</v>
      </c>
      <c r="H99" t="s">
        <v>19</v>
      </c>
      <c r="I99" t="s">
        <v>416</v>
      </c>
      <c r="J99" t="s">
        <v>417</v>
      </c>
      <c r="K99">
        <v>11.184273269999901</v>
      </c>
      <c r="L99">
        <f>Table1[[#This Row],[total_pnl_usdt]]+L98</f>
        <v>1591.2164092506532</v>
      </c>
      <c r="M99">
        <v>1.11843891402714</v>
      </c>
      <c r="N99">
        <v>1</v>
      </c>
    </row>
    <row r="100" spans="1:14" x14ac:dyDescent="0.2">
      <c r="A100" t="s">
        <v>409</v>
      </c>
      <c r="B100" t="s">
        <v>14</v>
      </c>
      <c r="C100" t="s">
        <v>410</v>
      </c>
      <c r="D100" t="s">
        <v>16</v>
      </c>
      <c r="E100" t="s">
        <v>17</v>
      </c>
      <c r="F100">
        <v>45</v>
      </c>
      <c r="G100" t="s">
        <v>411</v>
      </c>
      <c r="H100" t="s">
        <v>19</v>
      </c>
      <c r="I100" t="s">
        <v>412</v>
      </c>
      <c r="J100" t="s">
        <v>413</v>
      </c>
      <c r="K100">
        <v>2.955168</v>
      </c>
      <c r="L100">
        <f>Table1[[#This Row],[total_pnl_usdt]]+L99</f>
        <v>1594.1715772506532</v>
      </c>
      <c r="M100">
        <v>0.29553571428571401</v>
      </c>
      <c r="N100">
        <v>1</v>
      </c>
    </row>
    <row r="101" spans="1:14" x14ac:dyDescent="0.2">
      <c r="A101" t="s">
        <v>405</v>
      </c>
      <c r="B101" t="s">
        <v>14</v>
      </c>
      <c r="C101" t="s">
        <v>122</v>
      </c>
      <c r="D101" t="s">
        <v>16</v>
      </c>
      <c r="E101" t="s">
        <v>17</v>
      </c>
      <c r="F101">
        <v>28</v>
      </c>
      <c r="G101" t="s">
        <v>406</v>
      </c>
      <c r="H101" t="s">
        <v>19</v>
      </c>
      <c r="I101" t="s">
        <v>407</v>
      </c>
      <c r="J101" t="s">
        <v>408</v>
      </c>
      <c r="K101">
        <v>8.9562572899998791</v>
      </c>
      <c r="L101">
        <f>Table1[[#This Row],[total_pnl_usdt]]+L100</f>
        <v>1603.1278345406531</v>
      </c>
      <c r="M101">
        <v>0.89564116985375597</v>
      </c>
      <c r="N101">
        <v>1</v>
      </c>
    </row>
    <row r="102" spans="1:14" x14ac:dyDescent="0.2">
      <c r="A102" t="s">
        <v>401</v>
      </c>
      <c r="B102" t="s">
        <v>14</v>
      </c>
      <c r="C102" t="s">
        <v>112</v>
      </c>
      <c r="D102" t="s">
        <v>16</v>
      </c>
      <c r="E102" t="s">
        <v>17</v>
      </c>
      <c r="F102">
        <v>28</v>
      </c>
      <c r="G102" t="s">
        <v>402</v>
      </c>
      <c r="H102" t="s">
        <v>19</v>
      </c>
      <c r="I102" t="s">
        <v>403</v>
      </c>
      <c r="J102" t="s">
        <v>404</v>
      </c>
      <c r="K102">
        <v>22.6981430999999</v>
      </c>
      <c r="L102">
        <f>Table1[[#This Row],[total_pnl_usdt]]+L101</f>
        <v>1625.825977640653</v>
      </c>
      <c r="M102">
        <v>1.1349320894579999</v>
      </c>
      <c r="N102">
        <v>2</v>
      </c>
    </row>
    <row r="103" spans="1:14" x14ac:dyDescent="0.2">
      <c r="A103" t="s">
        <v>397</v>
      </c>
      <c r="B103" t="s">
        <v>14</v>
      </c>
      <c r="C103" t="s">
        <v>255</v>
      </c>
      <c r="D103" t="s">
        <v>16</v>
      </c>
      <c r="E103" t="s">
        <v>17</v>
      </c>
      <c r="F103">
        <v>33</v>
      </c>
      <c r="G103" t="s">
        <v>398</v>
      </c>
      <c r="H103" t="s">
        <v>19</v>
      </c>
      <c r="I103" t="s">
        <v>399</v>
      </c>
      <c r="J103" t="s">
        <v>400</v>
      </c>
      <c r="K103">
        <v>5.95730978999977</v>
      </c>
      <c r="L103">
        <f>Table1[[#This Row],[total_pnl_usdt]]+L102</f>
        <v>1631.7832874306528</v>
      </c>
      <c r="M103">
        <v>0.29786452739756503</v>
      </c>
      <c r="N103">
        <v>2</v>
      </c>
    </row>
    <row r="104" spans="1:14" x14ac:dyDescent="0.2">
      <c r="A104" t="s">
        <v>392</v>
      </c>
      <c r="B104" t="s">
        <v>14</v>
      </c>
      <c r="C104" t="s">
        <v>393</v>
      </c>
      <c r="D104" t="s">
        <v>16</v>
      </c>
      <c r="E104" t="s">
        <v>17</v>
      </c>
      <c r="F104">
        <v>47</v>
      </c>
      <c r="G104" t="s">
        <v>394</v>
      </c>
      <c r="H104" t="s">
        <v>19</v>
      </c>
      <c r="I104" t="s">
        <v>395</v>
      </c>
      <c r="J104" t="s">
        <v>396</v>
      </c>
      <c r="K104">
        <v>141.718296299999</v>
      </c>
      <c r="L104">
        <f>Table1[[#This Row],[total_pnl_usdt]]+L103</f>
        <v>1773.5015837306519</v>
      </c>
      <c r="M104">
        <v>14.1708277524778</v>
      </c>
      <c r="N104">
        <v>1</v>
      </c>
    </row>
    <row r="105" spans="1:14" x14ac:dyDescent="0.2">
      <c r="A105" t="s">
        <v>387</v>
      </c>
      <c r="B105" t="s">
        <v>151</v>
      </c>
      <c r="C105" t="s">
        <v>388</v>
      </c>
      <c r="D105" t="s">
        <v>16</v>
      </c>
      <c r="E105" t="s">
        <v>17</v>
      </c>
      <c r="F105">
        <v>22</v>
      </c>
      <c r="G105" t="s">
        <v>389</v>
      </c>
      <c r="H105" t="s">
        <v>19</v>
      </c>
      <c r="I105" t="s">
        <v>390</v>
      </c>
      <c r="J105" t="s">
        <v>391</v>
      </c>
      <c r="K105">
        <v>6.7761130796380602</v>
      </c>
      <c r="L105">
        <f>Table1[[#This Row],[total_pnl_usdt]]+L104</f>
        <v>1780.2776968102899</v>
      </c>
      <c r="M105">
        <v>0.67761130796488001</v>
      </c>
      <c r="N105">
        <v>1</v>
      </c>
    </row>
    <row r="106" spans="1:14" x14ac:dyDescent="0.2">
      <c r="A106" t="s">
        <v>383</v>
      </c>
      <c r="B106" t="s">
        <v>14</v>
      </c>
      <c r="C106" t="s">
        <v>15</v>
      </c>
      <c r="D106" t="s">
        <v>16</v>
      </c>
      <c r="E106" t="s">
        <v>17</v>
      </c>
      <c r="F106">
        <v>18</v>
      </c>
      <c r="G106" t="s">
        <v>384</v>
      </c>
      <c r="H106" t="s">
        <v>19</v>
      </c>
      <c r="I106" t="s">
        <v>385</v>
      </c>
      <c r="J106" t="s">
        <v>386</v>
      </c>
      <c r="K106">
        <v>-141.40188038999901</v>
      </c>
      <c r="L106">
        <f>Table1[[#This Row],[total_pnl_usdt]]+L105</f>
        <v>1638.8758164202909</v>
      </c>
      <c r="M106">
        <v>-2.8280308827425502</v>
      </c>
      <c r="N106">
        <v>5</v>
      </c>
    </row>
    <row r="107" spans="1:14" x14ac:dyDescent="0.2">
      <c r="A107" t="s">
        <v>379</v>
      </c>
      <c r="B107" t="s">
        <v>14</v>
      </c>
      <c r="C107" t="s">
        <v>73</v>
      </c>
      <c r="D107" t="s">
        <v>16</v>
      </c>
      <c r="E107" t="s">
        <v>17</v>
      </c>
      <c r="F107">
        <v>54</v>
      </c>
      <c r="G107" t="s">
        <v>380</v>
      </c>
      <c r="H107" t="s">
        <v>19</v>
      </c>
      <c r="I107" t="s">
        <v>381</v>
      </c>
      <c r="J107" t="s">
        <v>382</v>
      </c>
      <c r="K107">
        <v>53.467605281999901</v>
      </c>
      <c r="L107">
        <f>Table1[[#This Row],[total_pnl_usdt]]+L106</f>
        <v>1692.3434217022907</v>
      </c>
      <c r="M107">
        <v>5.3467562828755</v>
      </c>
      <c r="N107">
        <v>1</v>
      </c>
    </row>
    <row r="108" spans="1:14" x14ac:dyDescent="0.2">
      <c r="A108" t="s">
        <v>374</v>
      </c>
      <c r="B108" t="s">
        <v>14</v>
      </c>
      <c r="C108" t="s">
        <v>375</v>
      </c>
      <c r="D108" t="s">
        <v>16</v>
      </c>
      <c r="E108" t="s">
        <v>17</v>
      </c>
      <c r="F108">
        <v>25</v>
      </c>
      <c r="G108" t="s">
        <v>376</v>
      </c>
      <c r="H108" t="s">
        <v>19</v>
      </c>
      <c r="I108" t="s">
        <v>377</v>
      </c>
      <c r="J108" t="s">
        <v>378</v>
      </c>
      <c r="K108">
        <v>25.307397876620101</v>
      </c>
      <c r="L108">
        <f>Table1[[#This Row],[total_pnl_usdt]]+L107</f>
        <v>1717.6508195789108</v>
      </c>
      <c r="M108">
        <v>1.26536989738037</v>
      </c>
      <c r="N108">
        <v>2</v>
      </c>
    </row>
    <row r="109" spans="1:14" x14ac:dyDescent="0.2">
      <c r="A109" t="s">
        <v>369</v>
      </c>
      <c r="B109" t="s">
        <v>14</v>
      </c>
      <c r="C109" t="s">
        <v>370</v>
      </c>
      <c r="D109" t="s">
        <v>16</v>
      </c>
      <c r="E109" t="s">
        <v>17</v>
      </c>
      <c r="F109">
        <v>51</v>
      </c>
      <c r="G109" t="s">
        <v>371</v>
      </c>
      <c r="H109" t="s">
        <v>19</v>
      </c>
      <c r="I109" t="s">
        <v>372</v>
      </c>
      <c r="J109" t="s">
        <v>373</v>
      </c>
      <c r="K109">
        <v>1.3792714600000899</v>
      </c>
      <c r="L109">
        <f>Table1[[#This Row],[total_pnl_usdt]]+L108</f>
        <v>1719.030091038911</v>
      </c>
      <c r="M109">
        <v>0.13792811839324401</v>
      </c>
      <c r="N109">
        <v>1</v>
      </c>
    </row>
    <row r="110" spans="1:14" x14ac:dyDescent="0.2">
      <c r="A110" t="s">
        <v>364</v>
      </c>
      <c r="B110" t="s">
        <v>14</v>
      </c>
      <c r="C110" t="s">
        <v>365</v>
      </c>
      <c r="D110" t="s">
        <v>16</v>
      </c>
      <c r="E110" t="s">
        <v>17</v>
      </c>
      <c r="F110">
        <v>28</v>
      </c>
      <c r="G110" t="s">
        <v>366</v>
      </c>
      <c r="H110" t="s">
        <v>19</v>
      </c>
      <c r="I110" t="s">
        <v>367</v>
      </c>
      <c r="J110" t="s">
        <v>368</v>
      </c>
      <c r="K110">
        <v>6.8103672000000897</v>
      </c>
      <c r="L110">
        <f>Table1[[#This Row],[total_pnl_usdt]]+L109</f>
        <v>1725.8404582389112</v>
      </c>
      <c r="M110">
        <v>0.34051737249962399</v>
      </c>
      <c r="N110">
        <v>2</v>
      </c>
    </row>
    <row r="111" spans="1:14" x14ac:dyDescent="0.2">
      <c r="A111" t="s">
        <v>360</v>
      </c>
      <c r="B111" t="s">
        <v>14</v>
      </c>
      <c r="C111" t="s">
        <v>98</v>
      </c>
      <c r="D111" t="s">
        <v>16</v>
      </c>
      <c r="E111" t="s">
        <v>17</v>
      </c>
      <c r="F111">
        <v>169</v>
      </c>
      <c r="G111" t="s">
        <v>361</v>
      </c>
      <c r="H111" t="s">
        <v>19</v>
      </c>
      <c r="I111" t="s">
        <v>362</v>
      </c>
      <c r="J111" t="s">
        <v>363</v>
      </c>
      <c r="K111">
        <v>2.5017969900000598</v>
      </c>
      <c r="L111">
        <f>Table1[[#This Row],[total_pnl_usdt]]+L110</f>
        <v>1728.3422552289112</v>
      </c>
      <c r="M111">
        <v>0.25017136329018103</v>
      </c>
      <c r="N111">
        <v>1</v>
      </c>
    </row>
    <row r="112" spans="1:14" x14ac:dyDescent="0.2">
      <c r="A112" t="s">
        <v>355</v>
      </c>
      <c r="B112" t="s">
        <v>14</v>
      </c>
      <c r="C112" t="s">
        <v>356</v>
      </c>
      <c r="D112" t="s">
        <v>16</v>
      </c>
      <c r="E112" t="s">
        <v>17</v>
      </c>
      <c r="F112">
        <v>27</v>
      </c>
      <c r="G112" t="s">
        <v>357</v>
      </c>
      <c r="H112" t="s">
        <v>19</v>
      </c>
      <c r="I112" t="s">
        <v>358</v>
      </c>
      <c r="J112" t="s">
        <v>359</v>
      </c>
      <c r="K112">
        <v>5.0352015999999997</v>
      </c>
      <c r="L112">
        <f>Table1[[#This Row],[total_pnl_usdt]]+L111</f>
        <v>1733.3774568289111</v>
      </c>
      <c r="M112">
        <v>0.50352112676056404</v>
      </c>
      <c r="N112">
        <v>1</v>
      </c>
    </row>
    <row r="113" spans="1:14" x14ac:dyDescent="0.2">
      <c r="A113" t="s">
        <v>349</v>
      </c>
      <c r="B113" t="s">
        <v>350</v>
      </c>
      <c r="C113" t="s">
        <v>351</v>
      </c>
      <c r="D113" t="s">
        <v>16</v>
      </c>
      <c r="E113" t="s">
        <v>17</v>
      </c>
      <c r="F113">
        <v>240</v>
      </c>
      <c r="G113" t="s">
        <v>352</v>
      </c>
      <c r="H113" t="s">
        <v>19</v>
      </c>
      <c r="I113" t="s">
        <v>353</v>
      </c>
      <c r="J113" t="s">
        <v>354</v>
      </c>
      <c r="K113">
        <v>5.7848030751999397</v>
      </c>
      <c r="L113">
        <f>Table1[[#This Row],[total_pnl_usdt]]+L112</f>
        <v>1739.1622599041111</v>
      </c>
      <c r="M113">
        <v>0.57848044357859396</v>
      </c>
      <c r="N113">
        <v>1</v>
      </c>
    </row>
    <row r="114" spans="1:14" x14ac:dyDescent="0.2">
      <c r="A114" t="s">
        <v>345</v>
      </c>
      <c r="B114" t="s">
        <v>14</v>
      </c>
      <c r="C114" t="s">
        <v>34</v>
      </c>
      <c r="D114" t="s">
        <v>16</v>
      </c>
      <c r="E114" t="s">
        <v>17</v>
      </c>
      <c r="F114">
        <v>22</v>
      </c>
      <c r="G114" t="s">
        <v>346</v>
      </c>
      <c r="H114" t="s">
        <v>19</v>
      </c>
      <c r="I114" t="s">
        <v>347</v>
      </c>
      <c r="J114" t="s">
        <v>348</v>
      </c>
      <c r="K114">
        <v>2.1755442600000001</v>
      </c>
      <c r="L114">
        <f>Table1[[#This Row],[total_pnl_usdt]]+L113</f>
        <v>1741.337804164111</v>
      </c>
      <c r="M114">
        <v>0.21755485893416901</v>
      </c>
      <c r="N114">
        <v>1</v>
      </c>
    </row>
    <row r="115" spans="1:14" x14ac:dyDescent="0.2">
      <c r="A115" t="s">
        <v>341</v>
      </c>
      <c r="B115" t="s">
        <v>14</v>
      </c>
      <c r="C115" t="s">
        <v>156</v>
      </c>
      <c r="D115" t="s">
        <v>16</v>
      </c>
      <c r="E115" t="s">
        <v>17</v>
      </c>
      <c r="F115">
        <v>25</v>
      </c>
      <c r="G115" t="s">
        <v>342</v>
      </c>
      <c r="H115" t="s">
        <v>19</v>
      </c>
      <c r="I115" t="s">
        <v>343</v>
      </c>
      <c r="J115" t="s">
        <v>344</v>
      </c>
      <c r="K115">
        <v>-9.7823452999999301</v>
      </c>
      <c r="L115">
        <f>Table1[[#This Row],[total_pnl_usdt]]+L114</f>
        <v>1731.5554588641112</v>
      </c>
      <c r="M115">
        <v>-0.32607647019980301</v>
      </c>
      <c r="N115">
        <v>3</v>
      </c>
    </row>
    <row r="116" spans="1:14" x14ac:dyDescent="0.2">
      <c r="A116" t="s">
        <v>337</v>
      </c>
      <c r="B116" t="s">
        <v>151</v>
      </c>
      <c r="C116" t="s">
        <v>58</v>
      </c>
      <c r="D116" t="s">
        <v>16</v>
      </c>
      <c r="E116" t="s">
        <v>17</v>
      </c>
      <c r="F116">
        <v>61</v>
      </c>
      <c r="G116" t="s">
        <v>338</v>
      </c>
      <c r="H116" t="s">
        <v>19</v>
      </c>
      <c r="I116" t="s">
        <v>339</v>
      </c>
      <c r="J116" t="s">
        <v>340</v>
      </c>
      <c r="K116">
        <v>57.241398378359399</v>
      </c>
      <c r="L116">
        <f>Table1[[#This Row],[total_pnl_usdt]]+L115</f>
        <v>1788.7968572424707</v>
      </c>
      <c r="M116">
        <v>2.8620699189171099</v>
      </c>
      <c r="N116">
        <v>2</v>
      </c>
    </row>
    <row r="117" spans="1:14" x14ac:dyDescent="0.2">
      <c r="A117" t="s">
        <v>332</v>
      </c>
      <c r="B117" t="s">
        <v>333</v>
      </c>
      <c r="C117" t="s">
        <v>58</v>
      </c>
      <c r="D117" t="s">
        <v>16</v>
      </c>
      <c r="E117" t="s">
        <v>17</v>
      </c>
      <c r="F117">
        <v>52</v>
      </c>
      <c r="G117" t="s">
        <v>334</v>
      </c>
      <c r="H117" t="s">
        <v>19</v>
      </c>
      <c r="I117" t="s">
        <v>335</v>
      </c>
      <c r="J117" t="s">
        <v>336</v>
      </c>
      <c r="K117">
        <v>104.70767468039899</v>
      </c>
      <c r="L117">
        <f>Table1[[#This Row],[total_pnl_usdt]]+L116</f>
        <v>1893.5045319228695</v>
      </c>
      <c r="M117">
        <v>5.2353836582116298</v>
      </c>
      <c r="N117">
        <v>2</v>
      </c>
    </row>
    <row r="118" spans="1:14" x14ac:dyDescent="0.2">
      <c r="A118" t="s">
        <v>328</v>
      </c>
      <c r="B118" t="s">
        <v>14</v>
      </c>
      <c r="C118" t="s">
        <v>131</v>
      </c>
      <c r="D118" t="s">
        <v>16</v>
      </c>
      <c r="E118" t="s">
        <v>17</v>
      </c>
      <c r="F118">
        <v>44</v>
      </c>
      <c r="G118" t="s">
        <v>329</v>
      </c>
      <c r="H118" t="s">
        <v>19</v>
      </c>
      <c r="I118" t="s">
        <v>330</v>
      </c>
      <c r="J118" t="s">
        <v>331</v>
      </c>
      <c r="K118">
        <v>0.80028048199991497</v>
      </c>
      <c r="L118">
        <f>Table1[[#This Row],[total_pnl_usdt]]+L117</f>
        <v>1894.3048124048694</v>
      </c>
      <c r="M118">
        <v>8.00280308339089E-2</v>
      </c>
      <c r="N118">
        <v>1</v>
      </c>
    </row>
    <row r="119" spans="1:14" x14ac:dyDescent="0.2">
      <c r="A119" t="s">
        <v>324</v>
      </c>
      <c r="B119" t="s">
        <v>23</v>
      </c>
      <c r="C119" t="s">
        <v>174</v>
      </c>
      <c r="D119" t="s">
        <v>16</v>
      </c>
      <c r="E119" t="s">
        <v>17</v>
      </c>
      <c r="F119">
        <v>50</v>
      </c>
      <c r="G119" t="s">
        <v>325</v>
      </c>
      <c r="H119" t="s">
        <v>19</v>
      </c>
      <c r="I119" t="s">
        <v>326</v>
      </c>
      <c r="J119" t="s">
        <v>327</v>
      </c>
      <c r="K119">
        <v>13.49401385412</v>
      </c>
      <c r="L119">
        <f>Table1[[#This Row],[total_pnl_usdt]]+L118</f>
        <v>1907.7988262589895</v>
      </c>
      <c r="M119">
        <v>1.3494014780888901</v>
      </c>
      <c r="N119">
        <v>1</v>
      </c>
    </row>
    <row r="120" spans="1:14" x14ac:dyDescent="0.2">
      <c r="A120" t="s">
        <v>320</v>
      </c>
      <c r="B120" t="s">
        <v>14</v>
      </c>
      <c r="C120" t="s">
        <v>112</v>
      </c>
      <c r="D120" t="s">
        <v>16</v>
      </c>
      <c r="E120" t="s">
        <v>17</v>
      </c>
      <c r="F120">
        <v>28</v>
      </c>
      <c r="G120" t="s">
        <v>321</v>
      </c>
      <c r="H120" t="s">
        <v>19</v>
      </c>
      <c r="I120" t="s">
        <v>322</v>
      </c>
      <c r="J120" t="s">
        <v>323</v>
      </c>
      <c r="K120">
        <v>-5.9629145400002903</v>
      </c>
      <c r="L120">
        <f>Table1[[#This Row],[total_pnl_usdt]]+L119</f>
        <v>1901.8359117189891</v>
      </c>
      <c r="M120">
        <v>-0.19876522724547099</v>
      </c>
      <c r="N120">
        <v>3</v>
      </c>
    </row>
    <row r="121" spans="1:14" x14ac:dyDescent="0.2">
      <c r="A121" t="s">
        <v>316</v>
      </c>
      <c r="B121" t="s">
        <v>23</v>
      </c>
      <c r="C121" t="s">
        <v>58</v>
      </c>
      <c r="D121" t="s">
        <v>16</v>
      </c>
      <c r="E121" t="s">
        <v>17</v>
      </c>
      <c r="F121">
        <v>61</v>
      </c>
      <c r="G121" t="s">
        <v>317</v>
      </c>
      <c r="H121" t="s">
        <v>19</v>
      </c>
      <c r="I121" t="s">
        <v>318</v>
      </c>
      <c r="J121" t="s">
        <v>319</v>
      </c>
      <c r="K121">
        <v>-366.68831878909998</v>
      </c>
      <c r="L121">
        <f>Table1[[#This Row],[total_pnl_usdt]]+L120</f>
        <v>1535.147592929889</v>
      </c>
      <c r="M121">
        <v>-12.222944250135299</v>
      </c>
      <c r="N121">
        <v>3</v>
      </c>
    </row>
    <row r="122" spans="1:14" x14ac:dyDescent="0.2">
      <c r="A122" t="s">
        <v>311</v>
      </c>
      <c r="B122" t="s">
        <v>14</v>
      </c>
      <c r="C122" t="s">
        <v>312</v>
      </c>
      <c r="D122" t="s">
        <v>16</v>
      </c>
      <c r="E122" t="s">
        <v>17</v>
      </c>
      <c r="F122">
        <v>30</v>
      </c>
      <c r="G122" t="s">
        <v>313</v>
      </c>
      <c r="H122" t="s">
        <v>19</v>
      </c>
      <c r="I122" t="s">
        <v>314</v>
      </c>
      <c r="J122" t="s">
        <v>315</v>
      </c>
      <c r="K122">
        <v>-15.5613658700003</v>
      </c>
      <c r="L122">
        <f>Table1[[#This Row],[total_pnl_usdt]]+L121</f>
        <v>1519.5862270598886</v>
      </c>
      <c r="M122">
        <v>-0.77806658175353605</v>
      </c>
      <c r="N122">
        <v>2</v>
      </c>
    </row>
    <row r="123" spans="1:14" x14ac:dyDescent="0.2">
      <c r="A123" t="s">
        <v>306</v>
      </c>
      <c r="B123" t="s">
        <v>14</v>
      </c>
      <c r="C123" t="s">
        <v>307</v>
      </c>
      <c r="D123" t="s">
        <v>16</v>
      </c>
      <c r="E123" t="s">
        <v>17</v>
      </c>
      <c r="F123">
        <v>37</v>
      </c>
      <c r="G123" t="s">
        <v>308</v>
      </c>
      <c r="H123" t="s">
        <v>19</v>
      </c>
      <c r="I123" t="s">
        <v>309</v>
      </c>
      <c r="J123" t="s">
        <v>310</v>
      </c>
      <c r="K123">
        <v>37.286385719999899</v>
      </c>
      <c r="L123">
        <f>Table1[[#This Row],[total_pnl_usdt]]+L122</f>
        <v>1556.8726127798886</v>
      </c>
      <c r="M123">
        <v>1.2428785794122701</v>
      </c>
      <c r="N123">
        <v>3</v>
      </c>
    </row>
    <row r="124" spans="1:14" x14ac:dyDescent="0.2">
      <c r="A124" t="s">
        <v>302</v>
      </c>
      <c r="B124" t="s">
        <v>14</v>
      </c>
      <c r="C124" t="s">
        <v>34</v>
      </c>
      <c r="D124" t="s">
        <v>16</v>
      </c>
      <c r="E124" t="s">
        <v>17</v>
      </c>
      <c r="F124">
        <v>22</v>
      </c>
      <c r="G124" t="s">
        <v>303</v>
      </c>
      <c r="H124" t="s">
        <v>19</v>
      </c>
      <c r="I124" t="s">
        <v>304</v>
      </c>
      <c r="J124" t="s">
        <v>305</v>
      </c>
      <c r="K124">
        <v>22.801271349999901</v>
      </c>
      <c r="L124">
        <f>Table1[[#This Row],[total_pnl_usdt]]+L123</f>
        <v>1579.6738841298886</v>
      </c>
      <c r="M124">
        <v>1.14006056344041</v>
      </c>
      <c r="N124">
        <v>2</v>
      </c>
    </row>
    <row r="125" spans="1:14" x14ac:dyDescent="0.2">
      <c r="A125" t="s">
        <v>297</v>
      </c>
      <c r="B125" t="s">
        <v>14</v>
      </c>
      <c r="C125" t="s">
        <v>298</v>
      </c>
      <c r="D125" t="s">
        <v>16</v>
      </c>
      <c r="E125" t="s">
        <v>17</v>
      </c>
      <c r="F125">
        <v>35</v>
      </c>
      <c r="G125" t="s">
        <v>299</v>
      </c>
      <c r="H125" t="s">
        <v>19</v>
      </c>
      <c r="I125" t="s">
        <v>300</v>
      </c>
      <c r="J125" t="s">
        <v>301</v>
      </c>
      <c r="K125">
        <v>3.655341</v>
      </c>
      <c r="L125">
        <f>Table1[[#This Row],[total_pnl_usdt]]+L124</f>
        <v>1583.3292251298885</v>
      </c>
      <c r="M125">
        <v>0.365534465534465</v>
      </c>
      <c r="N125">
        <v>1</v>
      </c>
    </row>
    <row r="126" spans="1:14" x14ac:dyDescent="0.2">
      <c r="A126" t="s">
        <v>293</v>
      </c>
      <c r="B126" t="s">
        <v>14</v>
      </c>
      <c r="C126" t="s">
        <v>29</v>
      </c>
      <c r="D126" t="s">
        <v>16</v>
      </c>
      <c r="E126" t="s">
        <v>17</v>
      </c>
      <c r="F126">
        <v>30</v>
      </c>
      <c r="G126" t="s">
        <v>294</v>
      </c>
      <c r="H126" t="s">
        <v>19</v>
      </c>
      <c r="I126" t="s">
        <v>295</v>
      </c>
      <c r="J126" t="s">
        <v>296</v>
      </c>
      <c r="K126">
        <v>12.338713411000001</v>
      </c>
      <c r="L126">
        <f>Table1[[#This Row],[total_pnl_usdt]]+L125</f>
        <v>1595.6679385408886</v>
      </c>
      <c r="M126">
        <v>0.61693528218924398</v>
      </c>
      <c r="N126">
        <v>2</v>
      </c>
    </row>
    <row r="127" spans="1:14" x14ac:dyDescent="0.2">
      <c r="A127" s="1" t="s">
        <v>289</v>
      </c>
      <c r="B127" t="s">
        <v>14</v>
      </c>
      <c r="C127" t="s">
        <v>15</v>
      </c>
      <c r="D127" t="s">
        <v>16</v>
      </c>
      <c r="E127" t="s">
        <v>17</v>
      </c>
      <c r="F127">
        <v>18</v>
      </c>
      <c r="G127" t="s">
        <v>290</v>
      </c>
      <c r="H127" t="s">
        <v>19</v>
      </c>
      <c r="I127" t="s">
        <v>291</v>
      </c>
      <c r="J127" t="s">
        <v>292</v>
      </c>
      <c r="K127">
        <v>-1.0429332299999701</v>
      </c>
      <c r="L127">
        <f>Table1[[#This Row],[total_pnl_usdt]]+L126</f>
        <v>1594.6250053108886</v>
      </c>
      <c r="M127">
        <v>-0.104292009963591</v>
      </c>
      <c r="N127">
        <v>1</v>
      </c>
    </row>
    <row r="128" spans="1:14" x14ac:dyDescent="0.2">
      <c r="A128" t="s">
        <v>285</v>
      </c>
      <c r="B128" t="s">
        <v>14</v>
      </c>
      <c r="C128" t="s">
        <v>103</v>
      </c>
      <c r="D128" t="s">
        <v>16</v>
      </c>
      <c r="E128" t="s">
        <v>17</v>
      </c>
      <c r="F128">
        <v>33</v>
      </c>
      <c r="G128" t="s">
        <v>286</v>
      </c>
      <c r="H128" t="s">
        <v>19</v>
      </c>
      <c r="I128" t="s">
        <v>287</v>
      </c>
      <c r="J128" t="s">
        <v>288</v>
      </c>
      <c r="K128">
        <v>13.836153999999899</v>
      </c>
      <c r="L128">
        <f>Table1[[#This Row],[total_pnl_usdt]]+L127</f>
        <v>1608.4611593108884</v>
      </c>
      <c r="M128">
        <v>1.38361955085864</v>
      </c>
      <c r="N128">
        <v>1</v>
      </c>
    </row>
    <row r="129" spans="1:14" x14ac:dyDescent="0.2">
      <c r="A129" t="s">
        <v>280</v>
      </c>
      <c r="B129" t="s">
        <v>281</v>
      </c>
      <c r="C129" t="s">
        <v>112</v>
      </c>
      <c r="D129" t="s">
        <v>16</v>
      </c>
      <c r="E129" t="s">
        <v>17</v>
      </c>
      <c r="F129">
        <v>39</v>
      </c>
      <c r="G129" t="s">
        <v>282</v>
      </c>
      <c r="H129" t="s">
        <v>19</v>
      </c>
      <c r="I129" t="s">
        <v>283</v>
      </c>
      <c r="J129" t="s">
        <v>284</v>
      </c>
      <c r="K129">
        <v>13.26989122</v>
      </c>
      <c r="L129">
        <f>Table1[[#This Row],[total_pnl_usdt]]+L128</f>
        <v>1621.7310505308885</v>
      </c>
      <c r="M129">
        <v>0.66348435329322397</v>
      </c>
      <c r="N129">
        <v>2</v>
      </c>
    </row>
    <row r="130" spans="1:14" x14ac:dyDescent="0.2">
      <c r="A130" t="s">
        <v>276</v>
      </c>
      <c r="B130" t="s">
        <v>14</v>
      </c>
      <c r="C130" t="s">
        <v>112</v>
      </c>
      <c r="D130" t="s">
        <v>16</v>
      </c>
      <c r="E130" t="s">
        <v>17</v>
      </c>
      <c r="F130">
        <v>39</v>
      </c>
      <c r="G130" t="s">
        <v>277</v>
      </c>
      <c r="H130" t="s">
        <v>19</v>
      </c>
      <c r="I130" t="s">
        <v>278</v>
      </c>
      <c r="J130" t="s">
        <v>279</v>
      </c>
      <c r="K130">
        <v>15.0157091700001</v>
      </c>
      <c r="L130">
        <f>Table1[[#This Row],[total_pnl_usdt]]+L129</f>
        <v>1636.7467597008886</v>
      </c>
      <c r="M130">
        <v>0.75078806748854399</v>
      </c>
      <c r="N130">
        <v>2</v>
      </c>
    </row>
    <row r="131" spans="1:14" x14ac:dyDescent="0.2">
      <c r="A131" t="s">
        <v>272</v>
      </c>
      <c r="B131" t="s">
        <v>14</v>
      </c>
      <c r="C131" t="s">
        <v>112</v>
      </c>
      <c r="D131" t="s">
        <v>16</v>
      </c>
      <c r="E131" t="s">
        <v>17</v>
      </c>
      <c r="F131">
        <v>28</v>
      </c>
      <c r="G131" t="s">
        <v>273</v>
      </c>
      <c r="H131" t="s">
        <v>19</v>
      </c>
      <c r="I131" t="s">
        <v>274</v>
      </c>
      <c r="J131" t="s">
        <v>275</v>
      </c>
      <c r="K131">
        <v>7.7021428799995997</v>
      </c>
      <c r="L131">
        <f>Table1[[#This Row],[total_pnl_usdt]]+L130</f>
        <v>1644.4489025808882</v>
      </c>
      <c r="M131">
        <v>0.15404105316309499</v>
      </c>
      <c r="N131">
        <v>5</v>
      </c>
    </row>
    <row r="132" spans="1:14" x14ac:dyDescent="0.2">
      <c r="A132" t="s">
        <v>268</v>
      </c>
      <c r="B132" t="s">
        <v>14</v>
      </c>
      <c r="C132" t="s">
        <v>255</v>
      </c>
      <c r="D132" t="s">
        <v>16</v>
      </c>
      <c r="E132" t="s">
        <v>17</v>
      </c>
      <c r="F132">
        <v>33</v>
      </c>
      <c r="G132" t="s">
        <v>269</v>
      </c>
      <c r="H132" t="s">
        <v>19</v>
      </c>
      <c r="I132" t="s">
        <v>270</v>
      </c>
      <c r="J132" t="s">
        <v>271</v>
      </c>
      <c r="K132">
        <v>20.6544533</v>
      </c>
      <c r="L132">
        <f>Table1[[#This Row],[total_pnl_usdt]]+L131</f>
        <v>1665.1033558808881</v>
      </c>
      <c r="M132">
        <v>1.0327413472909699</v>
      </c>
      <c r="N132">
        <v>2</v>
      </c>
    </row>
    <row r="133" spans="1:14" x14ac:dyDescent="0.2">
      <c r="A133" t="s">
        <v>263</v>
      </c>
      <c r="B133" t="s">
        <v>14</v>
      </c>
      <c r="C133" t="s">
        <v>264</v>
      </c>
      <c r="D133" t="s">
        <v>16</v>
      </c>
      <c r="E133" t="s">
        <v>17</v>
      </c>
      <c r="F133">
        <v>50</v>
      </c>
      <c r="G133" t="s">
        <v>265</v>
      </c>
      <c r="H133" t="s">
        <v>19</v>
      </c>
      <c r="I133" t="s">
        <v>266</v>
      </c>
      <c r="J133" t="s">
        <v>267</v>
      </c>
      <c r="K133">
        <v>4.6400298580000001</v>
      </c>
      <c r="L133">
        <f>Table1[[#This Row],[total_pnl_usdt]]+L132</f>
        <v>1669.743385738888</v>
      </c>
      <c r="M133">
        <v>0.23200152398820401</v>
      </c>
      <c r="N133">
        <v>2</v>
      </c>
    </row>
    <row r="134" spans="1:14" x14ac:dyDescent="0.2">
      <c r="A134" t="s">
        <v>259</v>
      </c>
      <c r="B134" t="s">
        <v>14</v>
      </c>
      <c r="C134" t="s">
        <v>112</v>
      </c>
      <c r="D134" t="s">
        <v>16</v>
      </c>
      <c r="E134" t="s">
        <v>17</v>
      </c>
      <c r="F134">
        <v>59</v>
      </c>
      <c r="G134" t="s">
        <v>260</v>
      </c>
      <c r="H134" t="s">
        <v>19</v>
      </c>
      <c r="I134" t="s">
        <v>261</v>
      </c>
      <c r="J134" t="s">
        <v>262</v>
      </c>
      <c r="K134">
        <v>15.470387240000001</v>
      </c>
      <c r="L134">
        <f>Table1[[#This Row],[total_pnl_usdt]]+L133</f>
        <v>1685.2137729788881</v>
      </c>
      <c r="M134">
        <v>0.77352653259096105</v>
      </c>
      <c r="N134">
        <v>2</v>
      </c>
    </row>
    <row r="135" spans="1:14" x14ac:dyDescent="0.2">
      <c r="A135" t="s">
        <v>254</v>
      </c>
      <c r="B135" t="s">
        <v>14</v>
      </c>
      <c r="C135" t="s">
        <v>255</v>
      </c>
      <c r="D135" t="s">
        <v>16</v>
      </c>
      <c r="E135" t="s">
        <v>17</v>
      </c>
      <c r="F135">
        <v>40</v>
      </c>
      <c r="G135" t="s">
        <v>256</v>
      </c>
      <c r="H135" t="s">
        <v>19</v>
      </c>
      <c r="I135" t="s">
        <v>257</v>
      </c>
      <c r="J135" t="s">
        <v>258</v>
      </c>
      <c r="K135">
        <v>67.500054050000102</v>
      </c>
      <c r="L135">
        <f>Table1[[#This Row],[total_pnl_usdt]]+L134</f>
        <v>1752.7138270288881</v>
      </c>
      <c r="M135">
        <v>1.12500686524473</v>
      </c>
      <c r="N135">
        <v>6</v>
      </c>
    </row>
    <row r="136" spans="1:14" x14ac:dyDescent="0.2">
      <c r="A136" t="s">
        <v>249</v>
      </c>
      <c r="B136" t="s">
        <v>14</v>
      </c>
      <c r="C136" t="s">
        <v>250</v>
      </c>
      <c r="D136" t="s">
        <v>16</v>
      </c>
      <c r="E136" t="s">
        <v>17</v>
      </c>
      <c r="F136">
        <v>18</v>
      </c>
      <c r="G136" t="s">
        <v>251</v>
      </c>
      <c r="H136" t="s">
        <v>19</v>
      </c>
      <c r="I136" t="s">
        <v>252</v>
      </c>
      <c r="J136" t="s">
        <v>253</v>
      </c>
      <c r="K136">
        <v>29.464582839999899</v>
      </c>
      <c r="L136">
        <f>Table1[[#This Row],[total_pnl_usdt]]+L135</f>
        <v>1782.1784098688879</v>
      </c>
      <c r="M136">
        <v>2.94645669291338</v>
      </c>
      <c r="N136">
        <v>1</v>
      </c>
    </row>
    <row r="137" spans="1:14" x14ac:dyDescent="0.2">
      <c r="A137" t="s">
        <v>245</v>
      </c>
      <c r="B137" t="s">
        <v>14</v>
      </c>
      <c r="C137" t="s">
        <v>146</v>
      </c>
      <c r="D137" t="s">
        <v>16</v>
      </c>
      <c r="E137" t="s">
        <v>17</v>
      </c>
      <c r="F137">
        <v>34</v>
      </c>
      <c r="G137" t="s">
        <v>246</v>
      </c>
      <c r="H137" t="s">
        <v>19</v>
      </c>
      <c r="I137" t="s">
        <v>247</v>
      </c>
      <c r="J137" t="s">
        <v>248</v>
      </c>
      <c r="K137">
        <v>1.6172573400000001</v>
      </c>
      <c r="L137">
        <f>Table1[[#This Row],[total_pnl_usdt]]+L136</f>
        <v>1783.7956672088878</v>
      </c>
      <c r="M137">
        <v>8.0862871447458198E-2</v>
      </c>
      <c r="N137">
        <v>2</v>
      </c>
    </row>
    <row r="138" spans="1:14" x14ac:dyDescent="0.2">
      <c r="A138" t="s">
        <v>241</v>
      </c>
      <c r="B138" t="s">
        <v>14</v>
      </c>
      <c r="C138" t="s">
        <v>88</v>
      </c>
      <c r="D138" t="s">
        <v>16</v>
      </c>
      <c r="E138" t="s">
        <v>17</v>
      </c>
      <c r="F138">
        <v>59</v>
      </c>
      <c r="G138" t="s">
        <v>242</v>
      </c>
      <c r="H138" t="s">
        <v>19</v>
      </c>
      <c r="I138" t="s">
        <v>243</v>
      </c>
      <c r="J138" t="s">
        <v>244</v>
      </c>
      <c r="K138">
        <v>16.843772880000198</v>
      </c>
      <c r="L138">
        <f>Table1[[#This Row],[total_pnl_usdt]]+L137</f>
        <v>1800.639440088888</v>
      </c>
      <c r="M138">
        <v>0.421095453694039</v>
      </c>
      <c r="N138">
        <v>4</v>
      </c>
    </row>
    <row r="139" spans="1:14" x14ac:dyDescent="0.2">
      <c r="A139" t="s">
        <v>236</v>
      </c>
      <c r="B139" t="s">
        <v>14</v>
      </c>
      <c r="C139" t="s">
        <v>237</v>
      </c>
      <c r="D139" t="s">
        <v>16</v>
      </c>
      <c r="E139" t="s">
        <v>17</v>
      </c>
      <c r="F139">
        <v>28</v>
      </c>
      <c r="G139" t="s">
        <v>238</v>
      </c>
      <c r="H139" t="s">
        <v>19</v>
      </c>
      <c r="I139" t="s">
        <v>239</v>
      </c>
      <c r="J139" t="s">
        <v>240</v>
      </c>
      <c r="K139">
        <v>3.4385860700001998</v>
      </c>
      <c r="L139">
        <f>Table1[[#This Row],[total_pnl_usdt]]+L138</f>
        <v>1804.0780261588882</v>
      </c>
      <c r="M139">
        <v>0.17193025255500399</v>
      </c>
      <c r="N139">
        <v>2</v>
      </c>
    </row>
    <row r="140" spans="1:14" x14ac:dyDescent="0.2">
      <c r="A140" t="s">
        <v>232</v>
      </c>
      <c r="B140" t="s">
        <v>14</v>
      </c>
      <c r="C140" t="s">
        <v>165</v>
      </c>
      <c r="D140" t="s">
        <v>16</v>
      </c>
      <c r="E140" t="s">
        <v>17</v>
      </c>
      <c r="F140">
        <v>30</v>
      </c>
      <c r="G140" t="s">
        <v>233</v>
      </c>
      <c r="H140" t="s">
        <v>19</v>
      </c>
      <c r="I140" t="s">
        <v>234</v>
      </c>
      <c r="J140" t="s">
        <v>235</v>
      </c>
      <c r="K140">
        <v>6.32426311999982</v>
      </c>
      <c r="L140">
        <f>Table1[[#This Row],[total_pnl_usdt]]+L139</f>
        <v>1810.402289278888</v>
      </c>
      <c r="M140">
        <v>0.15810621712255499</v>
      </c>
      <c r="N140">
        <v>4</v>
      </c>
    </row>
    <row r="141" spans="1:14" x14ac:dyDescent="0.2">
      <c r="A141" t="s">
        <v>228</v>
      </c>
      <c r="B141" t="s">
        <v>14</v>
      </c>
      <c r="C141" t="s">
        <v>156</v>
      </c>
      <c r="D141" t="s">
        <v>16</v>
      </c>
      <c r="E141" t="s">
        <v>17</v>
      </c>
      <c r="F141">
        <v>30</v>
      </c>
      <c r="G141" t="s">
        <v>229</v>
      </c>
      <c r="H141" t="s">
        <v>19</v>
      </c>
      <c r="I141" t="s">
        <v>230</v>
      </c>
      <c r="J141" t="s">
        <v>231</v>
      </c>
      <c r="K141">
        <v>-1.64163369999986</v>
      </c>
      <c r="L141">
        <f>Table1[[#This Row],[total_pnl_usdt]]+L140</f>
        <v>1808.7606555788882</v>
      </c>
      <c r="M141">
        <v>-8.2086339295431299E-2</v>
      </c>
      <c r="N141">
        <v>2</v>
      </c>
    </row>
    <row r="142" spans="1:14" x14ac:dyDescent="0.2">
      <c r="A142" t="s">
        <v>224</v>
      </c>
      <c r="B142" t="s">
        <v>14</v>
      </c>
      <c r="C142" t="s">
        <v>156</v>
      </c>
      <c r="D142" t="s">
        <v>16</v>
      </c>
      <c r="E142" t="s">
        <v>17</v>
      </c>
      <c r="F142">
        <v>25</v>
      </c>
      <c r="G142" t="s">
        <v>225</v>
      </c>
      <c r="H142" t="s">
        <v>19</v>
      </c>
      <c r="I142" t="s">
        <v>226</v>
      </c>
      <c r="J142" t="s">
        <v>227</v>
      </c>
      <c r="K142">
        <v>-8.4186332999999394</v>
      </c>
      <c r="L142">
        <f>Table1[[#This Row],[total_pnl_usdt]]+L141</f>
        <v>1800.3420222788882</v>
      </c>
      <c r="M142">
        <v>-0.84188084112148898</v>
      </c>
      <c r="N142">
        <v>1</v>
      </c>
    </row>
    <row r="143" spans="1:14" x14ac:dyDescent="0.2">
      <c r="A143" t="s">
        <v>220</v>
      </c>
      <c r="B143" t="s">
        <v>14</v>
      </c>
      <c r="C143" t="s">
        <v>146</v>
      </c>
      <c r="D143" t="s">
        <v>16</v>
      </c>
      <c r="E143" t="s">
        <v>17</v>
      </c>
      <c r="F143">
        <v>18</v>
      </c>
      <c r="G143" t="s">
        <v>221</v>
      </c>
      <c r="H143" t="s">
        <v>19</v>
      </c>
      <c r="I143" t="s">
        <v>222</v>
      </c>
      <c r="J143" t="s">
        <v>223</v>
      </c>
      <c r="K143">
        <v>10.418542459999999</v>
      </c>
      <c r="L143">
        <f>Table1[[#This Row],[total_pnl_usdt]]+L142</f>
        <v>1810.7605647388882</v>
      </c>
      <c r="M143">
        <v>1.04185082872928</v>
      </c>
      <c r="N143">
        <v>1</v>
      </c>
    </row>
    <row r="144" spans="1:14" x14ac:dyDescent="0.2">
      <c r="A144" t="s">
        <v>215</v>
      </c>
      <c r="B144" t="s">
        <v>14</v>
      </c>
      <c r="C144" t="s">
        <v>216</v>
      </c>
      <c r="D144" t="s">
        <v>16</v>
      </c>
      <c r="E144" t="s">
        <v>17</v>
      </c>
      <c r="F144">
        <v>60</v>
      </c>
      <c r="G144" t="s">
        <v>217</v>
      </c>
      <c r="H144" t="s">
        <v>19</v>
      </c>
      <c r="I144" t="s">
        <v>218</v>
      </c>
      <c r="J144" t="s">
        <v>219</v>
      </c>
      <c r="K144">
        <v>171.12907448000001</v>
      </c>
      <c r="L144">
        <f>Table1[[#This Row],[total_pnl_usdt]]+L143</f>
        <v>1981.8896392188883</v>
      </c>
      <c r="M144">
        <v>8.5564512854113897</v>
      </c>
      <c r="N144">
        <v>2</v>
      </c>
    </row>
    <row r="145" spans="1:14" x14ac:dyDescent="0.2">
      <c r="A145" t="s">
        <v>210</v>
      </c>
      <c r="B145" t="s">
        <v>14</v>
      </c>
      <c r="C145" t="s">
        <v>211</v>
      </c>
      <c r="D145" t="s">
        <v>16</v>
      </c>
      <c r="E145" t="s">
        <v>17</v>
      </c>
      <c r="F145">
        <v>50</v>
      </c>
      <c r="G145" t="s">
        <v>212</v>
      </c>
      <c r="H145" t="s">
        <v>19</v>
      </c>
      <c r="I145" t="s">
        <v>213</v>
      </c>
      <c r="J145" t="s">
        <v>214</v>
      </c>
      <c r="K145">
        <v>-31.619737399999899</v>
      </c>
      <c r="L145">
        <f>Table1[[#This Row],[total_pnl_usdt]]+L144</f>
        <v>1950.2699018188885</v>
      </c>
      <c r="M145">
        <v>-3.16199460916441</v>
      </c>
      <c r="N145">
        <v>1</v>
      </c>
    </row>
    <row r="146" spans="1:14" x14ac:dyDescent="0.2">
      <c r="A146" t="s">
        <v>205</v>
      </c>
      <c r="B146" t="s">
        <v>14</v>
      </c>
      <c r="C146" t="s">
        <v>206</v>
      </c>
      <c r="D146" t="s">
        <v>16</v>
      </c>
      <c r="E146" t="s">
        <v>17</v>
      </c>
      <c r="F146">
        <v>39</v>
      </c>
      <c r="G146" t="s">
        <v>207</v>
      </c>
      <c r="H146" t="s">
        <v>19</v>
      </c>
      <c r="I146" t="s">
        <v>208</v>
      </c>
      <c r="J146" t="s">
        <v>209</v>
      </c>
      <c r="K146">
        <v>2.2103461979999599</v>
      </c>
      <c r="L146">
        <f>Table1[[#This Row],[total_pnl_usdt]]+L145</f>
        <v>1952.4802480168885</v>
      </c>
      <c r="M146">
        <v>0.22103448275861601</v>
      </c>
      <c r="N146">
        <v>1</v>
      </c>
    </row>
    <row r="147" spans="1:14" x14ac:dyDescent="0.2">
      <c r="A147" t="s">
        <v>201</v>
      </c>
      <c r="B147" t="s">
        <v>14</v>
      </c>
      <c r="C147" t="s">
        <v>15</v>
      </c>
      <c r="D147" t="s">
        <v>16</v>
      </c>
      <c r="E147" t="s">
        <v>17</v>
      </c>
      <c r="F147">
        <v>18</v>
      </c>
      <c r="G147" t="s">
        <v>202</v>
      </c>
      <c r="H147" t="s">
        <v>19</v>
      </c>
      <c r="I147" t="s">
        <v>203</v>
      </c>
      <c r="J147" t="s">
        <v>204</v>
      </c>
      <c r="K147">
        <v>-2.4060854399999201</v>
      </c>
      <c r="L147">
        <f>Table1[[#This Row],[total_pnl_usdt]]+L146</f>
        <v>1950.0741625768885</v>
      </c>
      <c r="M147">
        <v>-0.120303973646141</v>
      </c>
      <c r="N147">
        <v>2</v>
      </c>
    </row>
    <row r="148" spans="1:14" x14ac:dyDescent="0.2">
      <c r="A148" t="s">
        <v>197</v>
      </c>
      <c r="B148" t="s">
        <v>14</v>
      </c>
      <c r="C148" t="s">
        <v>165</v>
      </c>
      <c r="D148" t="s">
        <v>16</v>
      </c>
      <c r="E148" t="s">
        <v>17</v>
      </c>
      <c r="F148">
        <v>30</v>
      </c>
      <c r="G148" t="s">
        <v>198</v>
      </c>
      <c r="H148" t="s">
        <v>19</v>
      </c>
      <c r="I148" t="s">
        <v>199</v>
      </c>
      <c r="J148" t="s">
        <v>200</v>
      </c>
      <c r="K148">
        <v>9.3486684300000995</v>
      </c>
      <c r="L148">
        <f>Table1[[#This Row],[total_pnl_usdt]]+L147</f>
        <v>1959.4228310068886</v>
      </c>
      <c r="M148">
        <v>0.46743814496246</v>
      </c>
      <c r="N148">
        <v>2</v>
      </c>
    </row>
    <row r="149" spans="1:14" x14ac:dyDescent="0.2">
      <c r="A149" t="s">
        <v>192</v>
      </c>
      <c r="B149" t="s">
        <v>151</v>
      </c>
      <c r="C149" t="s">
        <v>193</v>
      </c>
      <c r="D149" t="s">
        <v>16</v>
      </c>
      <c r="E149" t="s">
        <v>17</v>
      </c>
      <c r="F149">
        <v>43</v>
      </c>
      <c r="G149" t="s">
        <v>194</v>
      </c>
      <c r="H149" t="s">
        <v>19</v>
      </c>
      <c r="I149" t="s">
        <v>195</v>
      </c>
      <c r="J149" t="s">
        <v>196</v>
      </c>
      <c r="K149">
        <v>8.2749540608021697</v>
      </c>
      <c r="L149">
        <f>Table1[[#This Row],[total_pnl_usdt]]+L148</f>
        <v>1967.6977850676908</v>
      </c>
      <c r="M149">
        <v>0.206873851520051</v>
      </c>
      <c r="N149">
        <v>4</v>
      </c>
    </row>
    <row r="150" spans="1:14" x14ac:dyDescent="0.2">
      <c r="A150" t="s">
        <v>187</v>
      </c>
      <c r="B150" t="s">
        <v>151</v>
      </c>
      <c r="C150" t="s">
        <v>188</v>
      </c>
      <c r="D150" t="s">
        <v>16</v>
      </c>
      <c r="E150" t="s">
        <v>17</v>
      </c>
      <c r="F150">
        <v>61</v>
      </c>
      <c r="G150" t="s">
        <v>189</v>
      </c>
      <c r="H150" t="s">
        <v>19</v>
      </c>
      <c r="I150" t="s">
        <v>190</v>
      </c>
      <c r="J150" t="s">
        <v>191</v>
      </c>
      <c r="K150">
        <v>-84.5258037384</v>
      </c>
      <c r="L150">
        <f>Table1[[#This Row],[total_pnl_usdt]]+L149</f>
        <v>1883.1719813292907</v>
      </c>
      <c r="M150">
        <v>-2.8175260103556998</v>
      </c>
      <c r="N150">
        <v>3</v>
      </c>
    </row>
    <row r="151" spans="1:14" x14ac:dyDescent="0.2">
      <c r="A151" t="s">
        <v>183</v>
      </c>
      <c r="B151" t="s">
        <v>151</v>
      </c>
      <c r="C151" t="s">
        <v>174</v>
      </c>
      <c r="D151" t="s">
        <v>16</v>
      </c>
      <c r="E151" t="s">
        <v>17</v>
      </c>
      <c r="F151">
        <v>61</v>
      </c>
      <c r="G151" t="s">
        <v>184</v>
      </c>
      <c r="H151" t="s">
        <v>19</v>
      </c>
      <c r="I151" t="s">
        <v>185</v>
      </c>
      <c r="J151" t="s">
        <v>186</v>
      </c>
      <c r="K151">
        <v>-6.1836505050098802</v>
      </c>
      <c r="L151">
        <f>Table1[[#This Row],[total_pnl_usdt]]+L150</f>
        <v>1876.9883308242809</v>
      </c>
      <c r="M151">
        <v>-0.30918252576064498</v>
      </c>
      <c r="N151">
        <v>2</v>
      </c>
    </row>
    <row r="152" spans="1:14" x14ac:dyDescent="0.2">
      <c r="A152" t="s">
        <v>178</v>
      </c>
      <c r="B152" t="s">
        <v>14</v>
      </c>
      <c r="C152" t="s">
        <v>179</v>
      </c>
      <c r="D152" t="s">
        <v>16</v>
      </c>
      <c r="E152" t="s">
        <v>17</v>
      </c>
      <c r="F152">
        <v>28</v>
      </c>
      <c r="G152" t="s">
        <v>180</v>
      </c>
      <c r="H152" t="s">
        <v>19</v>
      </c>
      <c r="I152" t="s">
        <v>181</v>
      </c>
      <c r="J152" t="s">
        <v>182</v>
      </c>
      <c r="K152">
        <v>3.3945495449999199</v>
      </c>
      <c r="L152">
        <f>Table1[[#This Row],[total_pnl_usdt]]+L151</f>
        <v>1880.3828803692809</v>
      </c>
      <c r="M152">
        <v>0.33945809041383201</v>
      </c>
      <c r="N152">
        <v>1</v>
      </c>
    </row>
    <row r="153" spans="1:14" x14ac:dyDescent="0.2">
      <c r="A153" t="s">
        <v>173</v>
      </c>
      <c r="B153" t="s">
        <v>23</v>
      </c>
      <c r="C153" t="s">
        <v>174</v>
      </c>
      <c r="D153" t="s">
        <v>16</v>
      </c>
      <c r="E153" t="s">
        <v>17</v>
      </c>
      <c r="F153">
        <v>50</v>
      </c>
      <c r="G153" t="s">
        <v>175</v>
      </c>
      <c r="H153" t="s">
        <v>19</v>
      </c>
      <c r="I153" t="s">
        <v>176</v>
      </c>
      <c r="J153" t="s">
        <v>177</v>
      </c>
      <c r="K153">
        <v>5.62484075842002</v>
      </c>
      <c r="L153">
        <f>Table1[[#This Row],[total_pnl_usdt]]+L152</f>
        <v>1886.007721127701</v>
      </c>
      <c r="M153">
        <v>0.140621017163363</v>
      </c>
      <c r="N153">
        <v>4</v>
      </c>
    </row>
    <row r="154" spans="1:14" x14ac:dyDescent="0.2">
      <c r="A154" t="s">
        <v>169</v>
      </c>
      <c r="B154" t="s">
        <v>14</v>
      </c>
      <c r="C154" t="s">
        <v>122</v>
      </c>
      <c r="D154" t="s">
        <v>16</v>
      </c>
      <c r="E154" t="s">
        <v>17</v>
      </c>
      <c r="F154">
        <v>28</v>
      </c>
      <c r="G154" t="s">
        <v>170</v>
      </c>
      <c r="H154" t="s">
        <v>19</v>
      </c>
      <c r="I154" t="s">
        <v>171</v>
      </c>
      <c r="J154" t="s">
        <v>172</v>
      </c>
      <c r="K154">
        <v>-34.020310620000103</v>
      </c>
      <c r="L154">
        <f>Table1[[#This Row],[total_pnl_usdt]]+L153</f>
        <v>1851.9874105077008</v>
      </c>
      <c r="M154">
        <v>-1.7009896249280201</v>
      </c>
      <c r="N154">
        <v>2</v>
      </c>
    </row>
    <row r="155" spans="1:14" x14ac:dyDescent="0.2">
      <c r="A155" t="s">
        <v>164</v>
      </c>
      <c r="B155" t="s">
        <v>14</v>
      </c>
      <c r="C155" t="s">
        <v>165</v>
      </c>
      <c r="D155" t="s">
        <v>16</v>
      </c>
      <c r="E155" t="s">
        <v>17</v>
      </c>
      <c r="F155">
        <v>42</v>
      </c>
      <c r="G155" t="s">
        <v>166</v>
      </c>
      <c r="H155" t="s">
        <v>19</v>
      </c>
      <c r="I155" t="s">
        <v>167</v>
      </c>
      <c r="J155" t="s">
        <v>168</v>
      </c>
      <c r="K155">
        <v>28.4582686900001</v>
      </c>
      <c r="L155">
        <f>Table1[[#This Row],[total_pnl_usdt]]+L154</f>
        <v>1880.4456791977009</v>
      </c>
      <c r="M155">
        <v>0.94860444730019899</v>
      </c>
      <c r="N155">
        <v>3</v>
      </c>
    </row>
    <row r="156" spans="1:14" x14ac:dyDescent="0.2">
      <c r="A156" t="s">
        <v>160</v>
      </c>
      <c r="B156" t="s">
        <v>14</v>
      </c>
      <c r="C156" t="s">
        <v>156</v>
      </c>
      <c r="D156" t="s">
        <v>16</v>
      </c>
      <c r="E156" t="s">
        <v>17</v>
      </c>
      <c r="F156">
        <v>25</v>
      </c>
      <c r="G156" t="s">
        <v>161</v>
      </c>
      <c r="H156" t="s">
        <v>19</v>
      </c>
      <c r="I156" t="s">
        <v>162</v>
      </c>
      <c r="J156" t="s">
        <v>163</v>
      </c>
      <c r="K156">
        <v>12.822268200000201</v>
      </c>
      <c r="L156">
        <f>Table1[[#This Row],[total_pnl_usdt]]+L155</f>
        <v>1893.2679473977012</v>
      </c>
      <c r="M156">
        <v>0.256448266994386</v>
      </c>
      <c r="N156">
        <v>5</v>
      </c>
    </row>
    <row r="157" spans="1:14" x14ac:dyDescent="0.2">
      <c r="A157" t="s">
        <v>155</v>
      </c>
      <c r="B157" t="s">
        <v>14</v>
      </c>
      <c r="C157" t="s">
        <v>156</v>
      </c>
      <c r="D157" t="s">
        <v>16</v>
      </c>
      <c r="E157" t="s">
        <v>17</v>
      </c>
      <c r="F157">
        <v>30</v>
      </c>
      <c r="G157" t="s">
        <v>157</v>
      </c>
      <c r="H157" t="s">
        <v>19</v>
      </c>
      <c r="I157" t="s">
        <v>158</v>
      </c>
      <c r="J157" t="s">
        <v>159</v>
      </c>
      <c r="K157">
        <v>9.7687240000000095</v>
      </c>
      <c r="L157">
        <f>Table1[[#This Row],[total_pnl_usdt]]+L156</f>
        <v>1903.0366713977012</v>
      </c>
      <c r="M157">
        <v>0.32563001638229599</v>
      </c>
      <c r="N157">
        <v>3</v>
      </c>
    </row>
    <row r="158" spans="1:14" x14ac:dyDescent="0.2">
      <c r="A158" t="s">
        <v>150</v>
      </c>
      <c r="B158" t="s">
        <v>151</v>
      </c>
      <c r="C158" t="s">
        <v>58</v>
      </c>
      <c r="D158" t="s">
        <v>16</v>
      </c>
      <c r="E158" t="s">
        <v>17</v>
      </c>
      <c r="F158">
        <v>61</v>
      </c>
      <c r="G158" t="s">
        <v>152</v>
      </c>
      <c r="H158" t="s">
        <v>19</v>
      </c>
      <c r="I158" t="s">
        <v>153</v>
      </c>
      <c r="J158" t="s">
        <v>154</v>
      </c>
      <c r="K158">
        <v>-102.601628273201</v>
      </c>
      <c r="L158">
        <f>Table1[[#This Row],[total_pnl_usdt]]+L157</f>
        <v>1800.4350431245002</v>
      </c>
      <c r="M158">
        <v>-3.4200542757735</v>
      </c>
      <c r="N158">
        <v>3</v>
      </c>
    </row>
    <row r="159" spans="1:14" x14ac:dyDescent="0.2">
      <c r="A159" t="s">
        <v>145</v>
      </c>
      <c r="B159" t="s">
        <v>14</v>
      </c>
      <c r="C159" t="s">
        <v>146</v>
      </c>
      <c r="D159" t="s">
        <v>16</v>
      </c>
      <c r="E159" t="s">
        <v>17</v>
      </c>
      <c r="F159">
        <v>34</v>
      </c>
      <c r="G159" t="s">
        <v>147</v>
      </c>
      <c r="H159" t="s">
        <v>19</v>
      </c>
      <c r="I159" t="s">
        <v>148</v>
      </c>
      <c r="J159" t="s">
        <v>149</v>
      </c>
      <c r="K159">
        <v>9.1154342800000094</v>
      </c>
      <c r="L159">
        <f>Table1[[#This Row],[total_pnl_usdt]]+L158</f>
        <v>1809.5504774045003</v>
      </c>
      <c r="M159">
        <v>0.91154381084840097</v>
      </c>
      <c r="N159">
        <v>1</v>
      </c>
    </row>
    <row r="160" spans="1:14" x14ac:dyDescent="0.2">
      <c r="A160" t="s">
        <v>140</v>
      </c>
      <c r="B160" t="s">
        <v>14</v>
      </c>
      <c r="C160" t="s">
        <v>141</v>
      </c>
      <c r="D160" t="s">
        <v>16</v>
      </c>
      <c r="E160" t="s">
        <v>17</v>
      </c>
      <c r="F160">
        <v>33</v>
      </c>
      <c r="G160" t="s">
        <v>142</v>
      </c>
      <c r="H160" t="s">
        <v>19</v>
      </c>
      <c r="I160" t="s">
        <v>143</v>
      </c>
      <c r="J160" t="s">
        <v>144</v>
      </c>
      <c r="K160">
        <v>-17.3692134</v>
      </c>
      <c r="L160">
        <f>Table1[[#This Row],[total_pnl_usdt]]+L159</f>
        <v>1792.1812640045002</v>
      </c>
      <c r="M160">
        <v>-1.7369230769230699</v>
      </c>
      <c r="N160">
        <v>1</v>
      </c>
    </row>
    <row r="161" spans="1:14" x14ac:dyDescent="0.2">
      <c r="A161" t="s">
        <v>135</v>
      </c>
      <c r="B161" t="s">
        <v>14</v>
      </c>
      <c r="C161" t="s">
        <v>136</v>
      </c>
      <c r="D161" t="s">
        <v>16</v>
      </c>
      <c r="E161" t="s">
        <v>17</v>
      </c>
      <c r="F161">
        <v>35</v>
      </c>
      <c r="G161" t="s">
        <v>137</v>
      </c>
      <c r="H161" t="s">
        <v>19</v>
      </c>
      <c r="I161" t="s">
        <v>138</v>
      </c>
      <c r="J161" t="s">
        <v>139</v>
      </c>
      <c r="K161">
        <v>44.972009566999702</v>
      </c>
      <c r="L161">
        <f>Table1[[#This Row],[total_pnl_usdt]]+L160</f>
        <v>1837.1532735715</v>
      </c>
      <c r="M161">
        <v>2.2486013755419298</v>
      </c>
      <c r="N161">
        <v>2</v>
      </c>
    </row>
    <row r="162" spans="1:14" x14ac:dyDescent="0.2">
      <c r="A162" t="s">
        <v>130</v>
      </c>
      <c r="B162" t="s">
        <v>14</v>
      </c>
      <c r="C162" t="s">
        <v>131</v>
      </c>
      <c r="D162" t="s">
        <v>16</v>
      </c>
      <c r="E162" t="s">
        <v>17</v>
      </c>
      <c r="F162">
        <v>44</v>
      </c>
      <c r="G162" t="s">
        <v>132</v>
      </c>
      <c r="H162" t="s">
        <v>19</v>
      </c>
      <c r="I162" t="s">
        <v>133</v>
      </c>
      <c r="J162" t="s">
        <v>134</v>
      </c>
      <c r="K162">
        <v>-213.42098276799999</v>
      </c>
      <c r="L162">
        <f>Table1[[#This Row],[total_pnl_usdt]]+L161</f>
        <v>1623.7322908035001</v>
      </c>
      <c r="M162">
        <v>-5.3355236514899298</v>
      </c>
      <c r="N162">
        <v>4</v>
      </c>
    </row>
    <row r="163" spans="1:14" x14ac:dyDescent="0.2">
      <c r="A163" t="s">
        <v>126</v>
      </c>
      <c r="B163" t="s">
        <v>14</v>
      </c>
      <c r="C163" t="s">
        <v>112</v>
      </c>
      <c r="D163" t="s">
        <v>16</v>
      </c>
      <c r="E163" t="s">
        <v>17</v>
      </c>
      <c r="F163">
        <v>19</v>
      </c>
      <c r="G163" t="s">
        <v>127</v>
      </c>
      <c r="H163" t="s">
        <v>19</v>
      </c>
      <c r="I163" t="s">
        <v>128</v>
      </c>
      <c r="J163" t="s">
        <v>129</v>
      </c>
      <c r="K163">
        <v>13.0086698799999</v>
      </c>
      <c r="L163">
        <f>Table1[[#This Row],[total_pnl_usdt]]+L162</f>
        <v>1636.7409606834999</v>
      </c>
      <c r="M163">
        <v>0.650436024196129</v>
      </c>
      <c r="N163">
        <v>2</v>
      </c>
    </row>
    <row r="164" spans="1:14" x14ac:dyDescent="0.2">
      <c r="A164" t="s">
        <v>121</v>
      </c>
      <c r="B164" t="s">
        <v>14</v>
      </c>
      <c r="C164" t="s">
        <v>122</v>
      </c>
      <c r="D164" t="s">
        <v>16</v>
      </c>
      <c r="E164" t="s">
        <v>17</v>
      </c>
      <c r="F164">
        <v>33</v>
      </c>
      <c r="G164" t="s">
        <v>123</v>
      </c>
      <c r="H164" t="s">
        <v>19</v>
      </c>
      <c r="I164" t="s">
        <v>124</v>
      </c>
      <c r="J164" t="s">
        <v>125</v>
      </c>
      <c r="K164">
        <v>50.886979529999799</v>
      </c>
      <c r="L164">
        <f>Table1[[#This Row],[total_pnl_usdt]]+L163</f>
        <v>1687.6279402134996</v>
      </c>
      <c r="M164">
        <v>1.69623080210842</v>
      </c>
      <c r="N164">
        <v>3</v>
      </c>
    </row>
    <row r="165" spans="1:14" x14ac:dyDescent="0.2">
      <c r="A165" t="s">
        <v>116</v>
      </c>
      <c r="B165" t="s">
        <v>14</v>
      </c>
      <c r="C165" t="s">
        <v>117</v>
      </c>
      <c r="D165" t="s">
        <v>16</v>
      </c>
      <c r="E165" t="s">
        <v>17</v>
      </c>
      <c r="F165">
        <v>50</v>
      </c>
      <c r="G165" t="s">
        <v>118</v>
      </c>
      <c r="H165" t="s">
        <v>19</v>
      </c>
      <c r="I165" t="s">
        <v>119</v>
      </c>
      <c r="J165" t="s">
        <v>120</v>
      </c>
      <c r="K165">
        <v>23.719255919999998</v>
      </c>
      <c r="L165">
        <f>Table1[[#This Row],[total_pnl_usdt]]+L164</f>
        <v>1711.3471961334997</v>
      </c>
      <c r="M165">
        <v>1.1859636617534699</v>
      </c>
      <c r="N165">
        <v>2</v>
      </c>
    </row>
    <row r="166" spans="1:14" x14ac:dyDescent="0.2">
      <c r="A166" t="s">
        <v>111</v>
      </c>
      <c r="B166" t="s">
        <v>14</v>
      </c>
      <c r="C166" t="s">
        <v>112</v>
      </c>
      <c r="D166" t="s">
        <v>16</v>
      </c>
      <c r="E166" t="s">
        <v>17</v>
      </c>
      <c r="F166">
        <v>37</v>
      </c>
      <c r="G166" t="s">
        <v>113</v>
      </c>
      <c r="H166" t="s">
        <v>19</v>
      </c>
      <c r="I166" t="s">
        <v>114</v>
      </c>
      <c r="J166" t="s">
        <v>115</v>
      </c>
      <c r="K166">
        <v>19.503451170000201</v>
      </c>
      <c r="L166">
        <f>Table1[[#This Row],[total_pnl_usdt]]+L165</f>
        <v>1730.8506473035</v>
      </c>
      <c r="M166">
        <v>0.65012696232849598</v>
      </c>
      <c r="N166">
        <v>3</v>
      </c>
    </row>
    <row r="167" spans="1:14" x14ac:dyDescent="0.2">
      <c r="A167" t="s">
        <v>107</v>
      </c>
      <c r="B167" t="s">
        <v>14</v>
      </c>
      <c r="C167" t="s">
        <v>83</v>
      </c>
      <c r="D167" t="s">
        <v>16</v>
      </c>
      <c r="E167" t="s">
        <v>17</v>
      </c>
      <c r="F167">
        <v>61</v>
      </c>
      <c r="G167" t="s">
        <v>108</v>
      </c>
      <c r="H167" t="s">
        <v>19</v>
      </c>
      <c r="I167" t="s">
        <v>109</v>
      </c>
      <c r="J167" t="s">
        <v>110</v>
      </c>
      <c r="K167">
        <v>25.5271229999999</v>
      </c>
      <c r="L167">
        <f>Table1[[#This Row],[total_pnl_usdt]]+L166</f>
        <v>1756.3777703034998</v>
      </c>
      <c r="M167">
        <v>1.2763815499928399</v>
      </c>
      <c r="N167">
        <v>2</v>
      </c>
    </row>
    <row r="168" spans="1:14" x14ac:dyDescent="0.2">
      <c r="A168" s="1" t="s">
        <v>102</v>
      </c>
      <c r="B168" t="s">
        <v>14</v>
      </c>
      <c r="C168" t="s">
        <v>103</v>
      </c>
      <c r="D168" t="s">
        <v>16</v>
      </c>
      <c r="E168" t="s">
        <v>17</v>
      </c>
      <c r="F168">
        <v>33</v>
      </c>
      <c r="G168" t="s">
        <v>104</v>
      </c>
      <c r="H168" t="s">
        <v>19</v>
      </c>
      <c r="I168" t="s">
        <v>105</v>
      </c>
      <c r="J168" t="s">
        <v>106</v>
      </c>
      <c r="K168">
        <v>64.422357849999699</v>
      </c>
      <c r="L168">
        <f>Table1[[#This Row],[total_pnl_usdt]]+L167</f>
        <v>1820.8001281534996</v>
      </c>
      <c r="M168">
        <v>3.2211168456370101</v>
      </c>
      <c r="N168">
        <v>2</v>
      </c>
    </row>
    <row r="169" spans="1:14" x14ac:dyDescent="0.2">
      <c r="A169" s="1" t="s">
        <v>97</v>
      </c>
      <c r="B169" t="s">
        <v>14</v>
      </c>
      <c r="C169" t="s">
        <v>98</v>
      </c>
      <c r="D169" t="s">
        <v>16</v>
      </c>
      <c r="E169" t="s">
        <v>17</v>
      </c>
      <c r="F169">
        <v>46</v>
      </c>
      <c r="G169" t="s">
        <v>99</v>
      </c>
      <c r="H169" t="s">
        <v>19</v>
      </c>
      <c r="I169" t="s">
        <v>100</v>
      </c>
      <c r="J169" t="s">
        <v>101</v>
      </c>
      <c r="K169">
        <v>33.809814940000003</v>
      </c>
      <c r="L169">
        <f>Table1[[#This Row],[total_pnl_usdt]]+L168</f>
        <v>1854.6099430934996</v>
      </c>
      <c r="M169">
        <v>1.1269646730006899</v>
      </c>
      <c r="N169">
        <v>3</v>
      </c>
    </row>
    <row r="170" spans="1:14" x14ac:dyDescent="0.2">
      <c r="A170" t="s">
        <v>92</v>
      </c>
      <c r="B170" t="s">
        <v>14</v>
      </c>
      <c r="C170" t="s">
        <v>93</v>
      </c>
      <c r="D170" t="s">
        <v>16</v>
      </c>
      <c r="E170" t="s">
        <v>17</v>
      </c>
      <c r="F170">
        <v>30</v>
      </c>
      <c r="G170" t="s">
        <v>94</v>
      </c>
      <c r="H170" t="s">
        <v>19</v>
      </c>
      <c r="I170" t="s">
        <v>95</v>
      </c>
      <c r="J170" t="s">
        <v>96</v>
      </c>
      <c r="K170">
        <v>110.682438899999</v>
      </c>
      <c r="L170">
        <f>Table1[[#This Row],[total_pnl_usdt]]+L169</f>
        <v>1965.2923819934986</v>
      </c>
      <c r="M170">
        <v>3.6896223557386199</v>
      </c>
      <c r="N170">
        <v>3</v>
      </c>
    </row>
    <row r="171" spans="1:14" x14ac:dyDescent="0.2">
      <c r="A171" t="s">
        <v>87</v>
      </c>
      <c r="B171" t="s">
        <v>14</v>
      </c>
      <c r="C171" t="s">
        <v>88</v>
      </c>
      <c r="D171" t="s">
        <v>16</v>
      </c>
      <c r="E171" t="s">
        <v>17</v>
      </c>
      <c r="F171">
        <v>50</v>
      </c>
      <c r="G171" t="s">
        <v>89</v>
      </c>
      <c r="H171" t="s">
        <v>19</v>
      </c>
      <c r="I171" t="s">
        <v>90</v>
      </c>
      <c r="J171" t="s">
        <v>91</v>
      </c>
      <c r="K171">
        <v>-65.260903819999996</v>
      </c>
      <c r="L171">
        <f>Table1[[#This Row],[total_pnl_usdt]]+L170</f>
        <v>1900.0314781734985</v>
      </c>
      <c r="M171">
        <v>-3.2630402638092</v>
      </c>
      <c r="N171">
        <v>2</v>
      </c>
    </row>
    <row r="172" spans="1:14" x14ac:dyDescent="0.2">
      <c r="A172" t="s">
        <v>82</v>
      </c>
      <c r="B172" t="s">
        <v>14</v>
      </c>
      <c r="C172" t="s">
        <v>83</v>
      </c>
      <c r="D172" t="s">
        <v>16</v>
      </c>
      <c r="E172" t="s">
        <v>17</v>
      </c>
      <c r="F172">
        <v>53</v>
      </c>
      <c r="G172" t="s">
        <v>84</v>
      </c>
      <c r="H172" t="s">
        <v>19</v>
      </c>
      <c r="I172" t="s">
        <v>85</v>
      </c>
      <c r="J172" t="s">
        <v>86</v>
      </c>
      <c r="K172">
        <v>-188.3827469</v>
      </c>
      <c r="L172">
        <f>Table1[[#This Row],[total_pnl_usdt]]+L171</f>
        <v>1711.6487312734985</v>
      </c>
      <c r="M172">
        <v>-4.7096802919229201</v>
      </c>
      <c r="N172">
        <v>4</v>
      </c>
    </row>
    <row r="173" spans="1:14" x14ac:dyDescent="0.2">
      <c r="A173" t="s">
        <v>77</v>
      </c>
      <c r="B173" t="s">
        <v>23</v>
      </c>
      <c r="C173" t="s">
        <v>78</v>
      </c>
      <c r="D173" t="s">
        <v>16</v>
      </c>
      <c r="E173" t="s">
        <v>17</v>
      </c>
      <c r="F173">
        <v>52</v>
      </c>
      <c r="G173" t="s">
        <v>79</v>
      </c>
      <c r="H173" t="s">
        <v>19</v>
      </c>
      <c r="I173" t="s">
        <v>80</v>
      </c>
      <c r="J173" t="s">
        <v>81</v>
      </c>
      <c r="K173">
        <v>-33.525121908599601</v>
      </c>
      <c r="L173">
        <f>Table1[[#This Row],[total_pnl_usdt]]+L172</f>
        <v>1678.1236093648988</v>
      </c>
      <c r="M173">
        <v>-1.1175040518638399</v>
      </c>
      <c r="N173">
        <v>3</v>
      </c>
    </row>
    <row r="174" spans="1:14" x14ac:dyDescent="0.2">
      <c r="A174" s="1" t="s">
        <v>72</v>
      </c>
      <c r="B174" t="s">
        <v>14</v>
      </c>
      <c r="C174" t="s">
        <v>73</v>
      </c>
      <c r="D174" t="s">
        <v>16</v>
      </c>
      <c r="E174" t="s">
        <v>17</v>
      </c>
      <c r="F174">
        <v>54</v>
      </c>
      <c r="G174" t="s">
        <v>74</v>
      </c>
      <c r="H174" t="s">
        <v>19</v>
      </c>
      <c r="I174" t="s">
        <v>75</v>
      </c>
      <c r="J174" t="s">
        <v>76</v>
      </c>
      <c r="K174">
        <v>287.75678740199902</v>
      </c>
      <c r="L174">
        <f>Table1[[#This Row],[total_pnl_usdt]]+L173</f>
        <v>1965.8803967668978</v>
      </c>
      <c r="M174">
        <v>7.1939199026660701</v>
      </c>
      <c r="N174">
        <v>4</v>
      </c>
    </row>
    <row r="175" spans="1:14" x14ac:dyDescent="0.2">
      <c r="A175" t="s">
        <v>67</v>
      </c>
      <c r="B175" t="s">
        <v>14</v>
      </c>
      <c r="C175" t="s">
        <v>68</v>
      </c>
      <c r="D175" t="s">
        <v>16</v>
      </c>
      <c r="E175" t="s">
        <v>17</v>
      </c>
      <c r="F175">
        <v>59</v>
      </c>
      <c r="G175" t="s">
        <v>69</v>
      </c>
      <c r="H175" t="s">
        <v>19</v>
      </c>
      <c r="I175" t="s">
        <v>70</v>
      </c>
      <c r="J175" t="s">
        <v>71</v>
      </c>
      <c r="K175">
        <v>-13.7485006900003</v>
      </c>
      <c r="L175">
        <f>Table1[[#This Row],[total_pnl_usdt]]+L174</f>
        <v>1952.1318960768974</v>
      </c>
      <c r="M175">
        <v>-0.34371230500765998</v>
      </c>
      <c r="N175">
        <v>4</v>
      </c>
    </row>
    <row r="176" spans="1:14" x14ac:dyDescent="0.2">
      <c r="A176" t="s">
        <v>62</v>
      </c>
      <c r="B176" t="s">
        <v>14</v>
      </c>
      <c r="C176" t="s">
        <v>63</v>
      </c>
      <c r="D176" t="s">
        <v>16</v>
      </c>
      <c r="E176" t="s">
        <v>17</v>
      </c>
      <c r="F176">
        <v>120</v>
      </c>
      <c r="G176" t="s">
        <v>64</v>
      </c>
      <c r="H176" t="s">
        <v>19</v>
      </c>
      <c r="I176" t="s">
        <v>65</v>
      </c>
      <c r="J176" t="s">
        <v>66</v>
      </c>
      <c r="K176">
        <v>-5.70243379999987</v>
      </c>
      <c r="L176">
        <f>Table1[[#This Row],[total_pnl_usdt]]+L175</f>
        <v>1946.4294622768975</v>
      </c>
      <c r="M176">
        <v>-0.28512610945469002</v>
      </c>
      <c r="N176">
        <v>2</v>
      </c>
    </row>
    <row r="177" spans="1:14" x14ac:dyDescent="0.2">
      <c r="A177" t="s">
        <v>57</v>
      </c>
      <c r="B177" t="s">
        <v>23</v>
      </c>
      <c r="C177" t="s">
        <v>58</v>
      </c>
      <c r="D177" t="s">
        <v>16</v>
      </c>
      <c r="E177" t="s">
        <v>17</v>
      </c>
      <c r="F177">
        <v>61</v>
      </c>
      <c r="G177" t="s">
        <v>59</v>
      </c>
      <c r="H177" t="s">
        <v>19</v>
      </c>
      <c r="I177" t="s">
        <v>60</v>
      </c>
      <c r="J177" t="s">
        <v>61</v>
      </c>
      <c r="K177">
        <v>44.4902604699001</v>
      </c>
      <c r="L177">
        <f>Table1[[#This Row],[total_pnl_usdt]]+L176</f>
        <v>1990.9197227467976</v>
      </c>
      <c r="M177">
        <v>4.4490259740259797</v>
      </c>
      <c r="N177">
        <v>1</v>
      </c>
    </row>
    <row r="178" spans="1:14" x14ac:dyDescent="0.2">
      <c r="A178" t="s">
        <v>52</v>
      </c>
      <c r="B178" t="s">
        <v>14</v>
      </c>
      <c r="C178" t="s">
        <v>53</v>
      </c>
      <c r="D178" t="s">
        <v>16</v>
      </c>
      <c r="E178" t="s">
        <v>17</v>
      </c>
      <c r="F178">
        <v>37</v>
      </c>
      <c r="G178" t="s">
        <v>54</v>
      </c>
      <c r="H178" t="s">
        <v>19</v>
      </c>
      <c r="I178" t="s">
        <v>55</v>
      </c>
      <c r="J178" t="s">
        <v>56</v>
      </c>
      <c r="K178">
        <v>9.3096393600001797</v>
      </c>
      <c r="L178">
        <f>Table1[[#This Row],[total_pnl_usdt]]+L177</f>
        <v>2000.2293621067977</v>
      </c>
      <c r="M178">
        <v>0.23274116786552701</v>
      </c>
      <c r="N178">
        <v>4</v>
      </c>
    </row>
    <row r="179" spans="1:14" x14ac:dyDescent="0.2">
      <c r="A179" t="s">
        <v>47</v>
      </c>
      <c r="B179" t="s">
        <v>14</v>
      </c>
      <c r="C179" t="s">
        <v>48</v>
      </c>
      <c r="D179" t="s">
        <v>16</v>
      </c>
      <c r="E179" t="s">
        <v>17</v>
      </c>
      <c r="F179">
        <v>28</v>
      </c>
      <c r="G179" t="s">
        <v>49</v>
      </c>
      <c r="H179" t="s">
        <v>19</v>
      </c>
      <c r="I179" t="s">
        <v>50</v>
      </c>
      <c r="J179" t="s">
        <v>51</v>
      </c>
      <c r="K179">
        <v>-519.61683495999898</v>
      </c>
      <c r="L179">
        <f>Table1[[#This Row],[total_pnl_usdt]]+L178</f>
        <v>1480.6125271467986</v>
      </c>
      <c r="M179">
        <v>-10.3924177600585</v>
      </c>
      <c r="N179">
        <v>5</v>
      </c>
    </row>
    <row r="180" spans="1:14" x14ac:dyDescent="0.2">
      <c r="A180" t="s">
        <v>42</v>
      </c>
      <c r="B180" t="s">
        <v>14</v>
      </c>
      <c r="C180" t="s">
        <v>43</v>
      </c>
      <c r="D180" t="s">
        <v>16</v>
      </c>
      <c r="E180" t="s">
        <v>17</v>
      </c>
      <c r="F180">
        <v>59</v>
      </c>
      <c r="G180" t="s">
        <v>44</v>
      </c>
      <c r="H180" t="s">
        <v>19</v>
      </c>
      <c r="I180" t="s">
        <v>45</v>
      </c>
      <c r="J180" t="s">
        <v>46</v>
      </c>
      <c r="K180">
        <v>-159.447309189999</v>
      </c>
      <c r="L180">
        <f>Table1[[#This Row],[total_pnl_usdt]]+L179</f>
        <v>1321.1652179567996</v>
      </c>
      <c r="M180">
        <v>-3.98618367646861</v>
      </c>
      <c r="N180">
        <v>4</v>
      </c>
    </row>
    <row r="181" spans="1:14" x14ac:dyDescent="0.2">
      <c r="A181" t="s">
        <v>38</v>
      </c>
      <c r="B181" t="s">
        <v>14</v>
      </c>
      <c r="C181" t="s">
        <v>34</v>
      </c>
      <c r="D181" t="s">
        <v>16</v>
      </c>
      <c r="E181" t="s">
        <v>17</v>
      </c>
      <c r="F181">
        <v>53</v>
      </c>
      <c r="G181" t="s">
        <v>39</v>
      </c>
      <c r="H181" t="s">
        <v>19</v>
      </c>
      <c r="I181" t="s">
        <v>40</v>
      </c>
      <c r="J181" t="s">
        <v>41</v>
      </c>
      <c r="K181">
        <v>-51.178423659999801</v>
      </c>
      <c r="L181">
        <f>Table1[[#This Row],[total_pnl_usdt]]+L180</f>
        <v>1269.9867942967996</v>
      </c>
      <c r="M181">
        <v>-1.2794597438579101</v>
      </c>
      <c r="N181">
        <v>4</v>
      </c>
    </row>
    <row r="182" spans="1:14" x14ac:dyDescent="0.2">
      <c r="A182" t="s">
        <v>33</v>
      </c>
      <c r="B182" t="s">
        <v>14</v>
      </c>
      <c r="C182" t="s">
        <v>34</v>
      </c>
      <c r="D182" t="s">
        <v>16</v>
      </c>
      <c r="E182" t="s">
        <v>17</v>
      </c>
      <c r="F182">
        <v>22</v>
      </c>
      <c r="G182" t="s">
        <v>35</v>
      </c>
      <c r="H182" t="s">
        <v>19</v>
      </c>
      <c r="I182" t="s">
        <v>36</v>
      </c>
      <c r="J182" t="s">
        <v>37</v>
      </c>
      <c r="K182">
        <v>-37.0715802</v>
      </c>
      <c r="L182">
        <f>Table1[[#This Row],[total_pnl_usdt]]+L181</f>
        <v>1232.9152140967997</v>
      </c>
      <c r="M182">
        <v>-1.2357187468549999</v>
      </c>
      <c r="N182">
        <v>3</v>
      </c>
    </row>
    <row r="183" spans="1:14" x14ac:dyDescent="0.2">
      <c r="A183" t="s">
        <v>28</v>
      </c>
      <c r="B183" t="s">
        <v>14</v>
      </c>
      <c r="C183" t="s">
        <v>29</v>
      </c>
      <c r="D183" t="s">
        <v>16</v>
      </c>
      <c r="E183" t="s">
        <v>17</v>
      </c>
      <c r="F183">
        <v>54</v>
      </c>
      <c r="G183" t="s">
        <v>30</v>
      </c>
      <c r="H183" t="s">
        <v>19</v>
      </c>
      <c r="I183" t="s">
        <v>31</v>
      </c>
      <c r="J183" t="s">
        <v>32</v>
      </c>
      <c r="K183">
        <v>6.2763101910000403</v>
      </c>
      <c r="L183">
        <f>Table1[[#This Row],[total_pnl_usdt]]+L182</f>
        <v>1239.1915242877997</v>
      </c>
      <c r="M183">
        <v>0.62763157894737198</v>
      </c>
      <c r="N183">
        <v>1</v>
      </c>
    </row>
    <row r="184" spans="1:14" x14ac:dyDescent="0.2">
      <c r="A184" t="s">
        <v>22</v>
      </c>
      <c r="B184" t="s">
        <v>23</v>
      </c>
      <c r="C184" t="s">
        <v>24</v>
      </c>
      <c r="D184" t="s">
        <v>16</v>
      </c>
      <c r="E184" t="s">
        <v>17</v>
      </c>
      <c r="F184">
        <v>33</v>
      </c>
      <c r="G184" t="s">
        <v>25</v>
      </c>
      <c r="H184" t="s">
        <v>19</v>
      </c>
      <c r="I184" t="s">
        <v>26</v>
      </c>
      <c r="J184" t="s">
        <v>27</v>
      </c>
      <c r="K184">
        <v>-209.44715700299901</v>
      </c>
      <c r="L184">
        <f>Table1[[#This Row],[total_pnl_usdt]]+L183</f>
        <v>1029.7443672848008</v>
      </c>
      <c r="M184">
        <v>-4.1889428024311997</v>
      </c>
      <c r="N184">
        <v>5</v>
      </c>
    </row>
    <row r="185" spans="1:14" x14ac:dyDescent="0.2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>
        <v>36</v>
      </c>
      <c r="G185" t="s">
        <v>18</v>
      </c>
      <c r="H185" t="s">
        <v>19</v>
      </c>
      <c r="I185" t="s">
        <v>20</v>
      </c>
      <c r="J185" t="s">
        <v>21</v>
      </c>
      <c r="K185">
        <v>-398.62302358999898</v>
      </c>
      <c r="L185">
        <f>Table1[[#This Row],[total_pnl_usdt]]+L184</f>
        <v>631.12134369480179</v>
      </c>
      <c r="M185">
        <v>-7.9724241334907902</v>
      </c>
      <c r="N185">
        <v>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trades_export_20260121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علي محمد الزهراني</dc:creator>
  <cp:lastModifiedBy>احمد علي محمد الزهراني</cp:lastModifiedBy>
  <dcterms:created xsi:type="dcterms:W3CDTF">2026-01-21T08:56:38Z</dcterms:created>
  <dcterms:modified xsi:type="dcterms:W3CDTF">2026-01-21T08:56:38Z</dcterms:modified>
</cp:coreProperties>
</file>